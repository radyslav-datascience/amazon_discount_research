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radyslav/data_analysis/Amazon/prod_perc_dpack/"/>
    </mc:Choice>
  </mc:AlternateContent>
  <xr:revisionPtr revIDLastSave="0" documentId="13_ncr:1_{2828CAC3-A55B-034F-9173-12EC04C8F0C0}" xr6:coauthVersionLast="47" xr6:coauthVersionMax="47" xr10:uidLastSave="{00000000-0000-0000-0000-000000000000}"/>
  <bookViews>
    <workbookView xWindow="0" yWindow="500" windowWidth="33600" windowHeight="19360" xr2:uid="{00000000-000D-0000-FFFF-FFFF00000000}"/>
  </bookViews>
  <sheets>
    <sheet name="Full Results" sheetId="1" r:id="rId1"/>
    <sheet name="Min Discount" sheetId="2" r:id="rId2"/>
    <sheet name="Min MAPE" sheetId="3" r:id="rId3"/>
    <sheet name="Min RMSE" sheetId="4" r:id="rId4"/>
    <sheet name="Average Metr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21" i="1"/>
</calcChain>
</file>

<file path=xl/sharedStrings.xml><?xml version="1.0" encoding="utf-8"?>
<sst xmlns="http://schemas.openxmlformats.org/spreadsheetml/2006/main" count="277" uniqueCount="87">
  <si>
    <t>Product_ASIN</t>
  </si>
  <si>
    <t>Historical - DP_DR_Avg</t>
  </si>
  <si>
    <t>Historical - Net_Profit_DP_Avg</t>
  </si>
  <si>
    <t>Historical - Sessions_SP_Avg</t>
  </si>
  <si>
    <t>Historical - Sessions_DP_Avg</t>
  </si>
  <si>
    <t>Historical - DP_CR_Avg</t>
  </si>
  <si>
    <t>Historical - DP_TAR_Avg</t>
  </si>
  <si>
    <t>Historical - DP_CSC_Avg</t>
  </si>
  <si>
    <t>Historical - DP_NPS_Avg</t>
  </si>
  <si>
    <t>Historical - DP_NPPS_Avg</t>
  </si>
  <si>
    <t>Historical - DP_CSPPS_Avg</t>
  </si>
  <si>
    <t>Method-A-DP_CR - optimal_DP_DR</t>
  </si>
  <si>
    <t>Method-A-DP_CR - MAPE</t>
  </si>
  <si>
    <t>Method-A-DP_CR - RMSE</t>
  </si>
  <si>
    <t>Method-A-DP_CR - predict_Net_Profit_DP</t>
  </si>
  <si>
    <t>Method-A-DP_CR - predict_DP_CR</t>
  </si>
  <si>
    <t>Method-A-DP_CR - predict_DP_TAR</t>
  </si>
  <si>
    <t>Method-A-DP_CR - predict_DP_CSC</t>
  </si>
  <si>
    <t>Method-B-DP_TAR - optimal_DP_DR</t>
  </si>
  <si>
    <t>Method-B-DP_TAR - MAPE</t>
  </si>
  <si>
    <t>Method-B-DP_TAR - RMSE</t>
  </si>
  <si>
    <t>Method-B-DP_TAR - predict_Net_Profit_DP</t>
  </si>
  <si>
    <t>Method-B-DP_TAR - predict_DP_CR</t>
  </si>
  <si>
    <t>Method-B-DP_TAR - predict_DP_TAR</t>
  </si>
  <si>
    <t>Method-B-DP_TAR - predict_DP_CSC</t>
  </si>
  <si>
    <t>Method-C-DP_CSC - optimal_DP_DR</t>
  </si>
  <si>
    <t>Method-C-DP_CSC - MAPE</t>
  </si>
  <si>
    <t>Method-C-DP_CSC - RMSE</t>
  </si>
  <si>
    <t>Method-C-DP_CSC - predict_Net_Profit_DP</t>
  </si>
  <si>
    <t>Method-C-DP_CSC - predict_DP_CR</t>
  </si>
  <si>
    <t>Method-C-DP_CSC - predict_DP_TAR</t>
  </si>
  <si>
    <t>Method-C-DP_CSC - predict_DP_CSC</t>
  </si>
  <si>
    <t>Method-D-DP_NPS - optimal_DP_DR</t>
  </si>
  <si>
    <t>Method-D-DP_NPS - MAPE</t>
  </si>
  <si>
    <t>Method-D-DP_NPS - RMSE</t>
  </si>
  <si>
    <t>Method-D-DP_NPS - predict_Net_Profit_DP</t>
  </si>
  <si>
    <t>Method-D-DP_NPS - predict_DP_CR</t>
  </si>
  <si>
    <t>Method-D-DP_NPS - predict_DP_TAR</t>
  </si>
  <si>
    <t>Method-D-DP_NPS - predict_DP_CSC</t>
  </si>
  <si>
    <t>Method-E-DP_NPPS - optimal_DP_DR</t>
  </si>
  <si>
    <t>Method-E-DP_NPPS - MAPE</t>
  </si>
  <si>
    <t>Method-E-DP_NPPS - RMSE</t>
  </si>
  <si>
    <t>Method-E-DP_NPPS - predict_Net_Profit_DP</t>
  </si>
  <si>
    <t>Method-E-DP_NPPS - predict_DP_CR</t>
  </si>
  <si>
    <t>Method-E-DP_NPPS - predict_DP_TAR</t>
  </si>
  <si>
    <t>Method-E-DP_NPPS - predict_DP_CSC</t>
  </si>
  <si>
    <t>Method-F-DP_CSPPS - optimal_DP_DR</t>
  </si>
  <si>
    <t>Method-F-DP_CSPPS - MAPE</t>
  </si>
  <si>
    <t>Method-F-DP_CSPPS - RMSE</t>
  </si>
  <si>
    <t>Method-F-DP_CSPPS - predict_Net_Profit_DP</t>
  </si>
  <si>
    <t>Method-F-DP_CSPPS - predict_DP_CR</t>
  </si>
  <si>
    <t>Method-F-DP_CSPPS - predict_DP_TAR</t>
  </si>
  <si>
    <t>Method-F-DP_CSPPS - predict_DP_CSC</t>
  </si>
  <si>
    <t>Method-G-Net_Profit_DP_Reg - optimal_DP_DR</t>
  </si>
  <si>
    <t>Method-G-Net_Profit_DP_Reg - MAPE</t>
  </si>
  <si>
    <t>Method-G-Net_Profit_DP_Reg - RMSE</t>
  </si>
  <si>
    <t>Method-G-Net_Profit_DP_Reg - predict_Net_Profit_DP</t>
  </si>
  <si>
    <t>Method-G-Net_Profit_DP_Reg - predict_DP_CR</t>
  </si>
  <si>
    <t>Method-G-Net_Profit_DP_Reg - predict_DP_TAR</t>
  </si>
  <si>
    <t>Method-G-Net_Profit_DP_Reg - predict_DP_CSC</t>
  </si>
  <si>
    <t>Alpha Lipoic Acid - ASIN: B0DQQF4PFJ</t>
  </si>
  <si>
    <t>B Complex Drops - ASIN: B0CXTFFT4X</t>
  </si>
  <si>
    <t>B-Complex Capsules - ASIN: B0DGQVJDXV</t>
  </si>
  <si>
    <t>Bariatric Caps - ASIN: B0DSJ8YM4F</t>
  </si>
  <si>
    <t>Biotin Caps - ASIN: B0DJBQW5FG</t>
  </si>
  <si>
    <t>Biotin Drops - ASIN: B0CXTGWR6K</t>
  </si>
  <si>
    <t>Cinnamon Capsules - ASIN: B0DGQSMXYF</t>
  </si>
  <si>
    <t>Collagen Caps - ASIN: B0DNN99QGQ</t>
  </si>
  <si>
    <t>D-Mannose Capsules - ASIN: B0DQQCWY6T</t>
  </si>
  <si>
    <t>D3K2 Caps - ASIN: B0DCW1FGHZ</t>
  </si>
  <si>
    <t>Electrolyte Caps - ASIN: B0DPGLK9V1</t>
  </si>
  <si>
    <t>GABA Caps - ASIN: B0DFCZ59BX</t>
  </si>
  <si>
    <t>Glucosamine - ASIN: B0DGQQD76G</t>
  </si>
  <si>
    <t>Iron Caps - ASIN: B0F1NP1YQS</t>
  </si>
  <si>
    <t>L-Theanine Caps - ASIN: B0DQQBMP4R</t>
  </si>
  <si>
    <t>Magnesium Citrate Caps - ASIN: B0DJT3F8M6</t>
  </si>
  <si>
    <t>Mg Glycinate Capsules - ASIN: B0DFCZVLMB</t>
  </si>
  <si>
    <t>Mullein Caps - ASIN: B0F1TQT67K</t>
  </si>
  <si>
    <t>Saffron Caps - ASIN: B0DSJD6PWW</t>
  </si>
  <si>
    <t>Average - optimal_DP_DR</t>
  </si>
  <si>
    <t>Average - MAPE</t>
  </si>
  <si>
    <t>Average - RMSE</t>
  </si>
  <si>
    <t>Average - predict_Net_Profit_DP</t>
  </si>
  <si>
    <t>Average - predict_DP_CR</t>
  </si>
  <si>
    <t>Average - predict_DP_TAR</t>
  </si>
  <si>
    <t>Average - predict_DP_CSC</t>
  </si>
  <si>
    <t>Average_All_Products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</si>
</sst>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"/>
  <sheetViews>
    <sheetView tabSelected="1" workbookViewId="0">
      <selection activeCell="A7" sqref="A7:XFD7"/>
    </sheetView>
  </sheetViews>
  <sheetFormatPr baseColWidth="10" defaultColWidth="15.33203125" defaultRowHeight="15" x14ac:dyDescent="0.2"/>
  <cols>
    <col min="1" max="16384" width="15.33203125" style="2"/>
  </cols>
  <sheetData>
    <row r="1" spans="1:60" ht="80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48" x14ac:dyDescent="0.2">
      <c r="A2" s="1" t="s">
        <v>60</v>
      </c>
      <c r="B2" s="4">
        <v>0.13615825193234479</v>
      </c>
      <c r="C2" s="2">
        <v>10380.833857142859</v>
      </c>
      <c r="D2" s="2">
        <v>21019.142857142859</v>
      </c>
      <c r="E2" s="2">
        <v>1616.285714285714</v>
      </c>
      <c r="F2" s="2">
        <v>0.35072020893246442</v>
      </c>
      <c r="G2" s="2">
        <v>7.7313693815823314E-2</v>
      </c>
      <c r="H2" s="2">
        <v>2.682151637582008E-2</v>
      </c>
      <c r="I2" s="2">
        <v>0.17131348481183431</v>
      </c>
      <c r="J2" s="2">
        <v>6.5703553716442817</v>
      </c>
      <c r="K2" s="2">
        <v>0.50260591164067836</v>
      </c>
      <c r="L2" s="4">
        <v>0.17878155285597641</v>
      </c>
      <c r="M2" s="2">
        <v>7.8890821405205674E-2</v>
      </c>
      <c r="N2" s="2">
        <v>910.77923334844127</v>
      </c>
      <c r="O2" s="2">
        <v>10413.235348979641</v>
      </c>
      <c r="P2" s="2">
        <v>0.29537861303114221</v>
      </c>
      <c r="Q2" s="2">
        <v>9.4462193609840844E-2</v>
      </c>
      <c r="R2" s="2">
        <v>2.7902111732354011E-2</v>
      </c>
      <c r="S2" s="4">
        <v>0.12084112171805129</v>
      </c>
      <c r="T2" s="2">
        <v>0.1901566696634468</v>
      </c>
      <c r="U2" s="2">
        <v>2077.741877310601</v>
      </c>
      <c r="V2" s="2">
        <v>12065.861216534109</v>
      </c>
      <c r="W2" s="2">
        <v>0.40726169982626592</v>
      </c>
      <c r="X2" s="2">
        <v>7.1071780865847423E-2</v>
      </c>
      <c r="Y2" s="2">
        <v>2.8944814285104901E-2</v>
      </c>
      <c r="Z2" s="4">
        <v>0.1178019507841855</v>
      </c>
      <c r="AA2" s="2">
        <v>0.18911577089764739</v>
      </c>
      <c r="AB2" s="2">
        <v>2126.3408539216698</v>
      </c>
      <c r="AC2" s="2">
        <v>12435.793554091289</v>
      </c>
      <c r="AD2" s="2">
        <v>0.44465270010965868</v>
      </c>
      <c r="AE2" s="2">
        <v>6.7034057235537611E-2</v>
      </c>
      <c r="AF2" s="2">
        <v>2.98068745490872E-2</v>
      </c>
      <c r="AG2" s="4">
        <v>0.16268415261493141</v>
      </c>
      <c r="AH2" s="2">
        <v>0.13165225891733981</v>
      </c>
      <c r="AI2" s="2">
        <v>1479.565050953752</v>
      </c>
      <c r="AJ2" s="2">
        <v>10728.07641972019</v>
      </c>
      <c r="AK2" s="2">
        <v>0.28858508116884041</v>
      </c>
      <c r="AL2" s="2">
        <v>9.9262856719996351E-2</v>
      </c>
      <c r="AM2" s="2">
        <v>2.8645779563591121E-2</v>
      </c>
      <c r="AN2" s="4">
        <v>0.1141645246084164</v>
      </c>
      <c r="AO2" s="2">
        <v>0.18145511955715529</v>
      </c>
      <c r="AP2" s="2">
        <v>2163.3816311074038</v>
      </c>
      <c r="AQ2" s="2">
        <v>13141.6742792151</v>
      </c>
      <c r="AR2" s="2">
        <v>0.61617080799285484</v>
      </c>
      <c r="AS2" s="2">
        <v>5.1209947630026453E-2</v>
      </c>
      <c r="AT2" s="2">
        <v>3.1554074808465178E-2</v>
      </c>
      <c r="AU2" s="4">
        <v>0.11779092191954101</v>
      </c>
      <c r="AV2" s="2">
        <v>0.18864281578877401</v>
      </c>
      <c r="AW2" s="2">
        <v>2116.3664948060559</v>
      </c>
      <c r="AX2" s="2">
        <v>12356.10265662498</v>
      </c>
      <c r="AY2" s="2">
        <v>0.58856760012414067</v>
      </c>
      <c r="AZ2" s="2">
        <v>5.0318576523522528E-2</v>
      </c>
      <c r="BA2" s="2">
        <v>2.961588382611258E-2</v>
      </c>
      <c r="BB2" s="4">
        <v>0.17053252857301901</v>
      </c>
      <c r="BC2" s="2">
        <v>5.9163874169755548E-2</v>
      </c>
      <c r="BD2" s="2">
        <v>693.2332848441747</v>
      </c>
      <c r="BE2" s="2">
        <v>10714.90757408139</v>
      </c>
      <c r="BF2" s="2">
        <v>0.28586832226835718</v>
      </c>
      <c r="BG2" s="2">
        <v>0.101165250263393</v>
      </c>
      <c r="BH2" s="2">
        <v>2.8919940364654641E-2</v>
      </c>
    </row>
    <row r="3" spans="1:60" ht="32" x14ac:dyDescent="0.2">
      <c r="A3" s="1" t="s">
        <v>61</v>
      </c>
      <c r="B3" s="4">
        <v>7.56243985707475E-2</v>
      </c>
      <c r="C3" s="2">
        <v>59316.431199999992</v>
      </c>
      <c r="D3" s="2">
        <v>76843.600000000006</v>
      </c>
      <c r="E3" s="2">
        <v>10950</v>
      </c>
      <c r="F3" s="2">
        <v>0.2104868547730788</v>
      </c>
      <c r="G3" s="2">
        <v>0.13842502822135519</v>
      </c>
      <c r="H3" s="2">
        <v>2.910061389991065E-2</v>
      </c>
      <c r="I3" s="2">
        <v>0.20398755126869519</v>
      </c>
      <c r="J3" s="2">
        <v>5.4466908425990281</v>
      </c>
      <c r="K3" s="2">
        <v>0.75284870845750196</v>
      </c>
      <c r="L3" s="4">
        <v>9.3834603476567205E-2</v>
      </c>
      <c r="M3" s="2">
        <v>0.34721530075131612</v>
      </c>
      <c r="N3" s="2">
        <v>20863.851303373282</v>
      </c>
      <c r="O3" s="2">
        <v>62745.990788975309</v>
      </c>
      <c r="P3" s="2">
        <v>0.23058436516094891</v>
      </c>
      <c r="Q3" s="2">
        <v>0.1506950339395314</v>
      </c>
      <c r="R3" s="2">
        <v>3.4747918733854487E-2</v>
      </c>
      <c r="S3" s="4">
        <v>0.10718340996652009</v>
      </c>
      <c r="T3" s="2">
        <v>0.31627810861666461</v>
      </c>
      <c r="U3" s="2">
        <v>20638.85651288701</v>
      </c>
      <c r="V3" s="2">
        <v>64280.382213127217</v>
      </c>
      <c r="W3" s="2">
        <v>0.21743545105806289</v>
      </c>
      <c r="X3" s="2">
        <v>0.14879329233169949</v>
      </c>
      <c r="Y3" s="2">
        <v>3.235293663255729E-2</v>
      </c>
      <c r="Z3" s="4">
        <v>0.10638766600483369</v>
      </c>
      <c r="AA3" s="2">
        <v>0.31355340222359029</v>
      </c>
      <c r="AB3" s="2">
        <v>20612.900142722989</v>
      </c>
      <c r="AC3" s="2">
        <v>64229.069441816799</v>
      </c>
      <c r="AD3" s="2">
        <v>0.24052194308722369</v>
      </c>
      <c r="AE3" s="2">
        <v>0.13498863803638331</v>
      </c>
      <c r="AF3" s="2">
        <v>3.2467729515208828E-2</v>
      </c>
      <c r="AG3" s="4">
        <v>9.3777893281872124E-2</v>
      </c>
      <c r="AH3" s="2">
        <v>0.33539374062707938</v>
      </c>
      <c r="AI3" s="2">
        <v>20801.264365489111</v>
      </c>
      <c r="AJ3" s="2">
        <v>62239.760340853449</v>
      </c>
      <c r="AK3" s="2">
        <v>0.22873127333998661</v>
      </c>
      <c r="AL3" s="2">
        <v>0.14249722813611021</v>
      </c>
      <c r="AM3" s="2">
        <v>3.2593572438991053E-2</v>
      </c>
      <c r="AN3" s="4">
        <v>9.2597249816296232E-2</v>
      </c>
      <c r="AO3" s="2">
        <v>0.34441461855917022</v>
      </c>
      <c r="AP3" s="2">
        <v>20878.64969896651</v>
      </c>
      <c r="AQ3" s="2">
        <v>62432.752260437337</v>
      </c>
      <c r="AR3" s="2">
        <v>0.2295400432609728</v>
      </c>
      <c r="AS3" s="2">
        <v>0.14249722813611021</v>
      </c>
      <c r="AT3" s="2">
        <v>3.2708819910931448E-2</v>
      </c>
      <c r="AU3" s="4">
        <v>0.1064317915507433</v>
      </c>
      <c r="AV3" s="2">
        <v>0.31483102516739953</v>
      </c>
      <c r="AW3" s="2">
        <v>20675.791887731379</v>
      </c>
      <c r="AX3" s="2">
        <v>63355.988229460163</v>
      </c>
      <c r="AY3" s="2">
        <v>0.2246984465294804</v>
      </c>
      <c r="AZ3" s="2">
        <v>0.14249722813611021</v>
      </c>
      <c r="BA3" s="2">
        <v>3.2018905796940923E-2</v>
      </c>
      <c r="BB3" s="4">
        <v>0.1074337718644752</v>
      </c>
      <c r="BC3" s="2">
        <v>0.31571549579253239</v>
      </c>
      <c r="BD3" s="2">
        <v>20605.381628008461</v>
      </c>
      <c r="BE3" s="2">
        <v>66307.000917496378</v>
      </c>
      <c r="BF3" s="2">
        <v>0.23386806523683079</v>
      </c>
      <c r="BG3" s="2">
        <v>0.14249722813611021</v>
      </c>
      <c r="BH3" s="2">
        <v>3.3325551045803391E-2</v>
      </c>
    </row>
    <row r="4" spans="1:60" ht="48" x14ac:dyDescent="0.2">
      <c r="A4" s="1" t="s">
        <v>62</v>
      </c>
      <c r="B4" s="4">
        <v>0.16902207085602011</v>
      </c>
      <c r="C4" s="2">
        <v>28050.866111111111</v>
      </c>
      <c r="D4" s="2">
        <v>56788.888888888891</v>
      </c>
      <c r="E4" s="2">
        <v>5848</v>
      </c>
      <c r="F4" s="2">
        <v>0.29231349928531231</v>
      </c>
      <c r="G4" s="2">
        <v>0.1017844954415119</v>
      </c>
      <c r="H4" s="2">
        <v>2.9651427146341221E-2</v>
      </c>
      <c r="I4" s="2">
        <v>0.25963672791398368</v>
      </c>
      <c r="J4" s="2">
        <v>5.1665392499838667</v>
      </c>
      <c r="K4" s="2">
        <v>0.53023810543887295</v>
      </c>
      <c r="L4" s="4">
        <v>0.14331266356501041</v>
      </c>
      <c r="M4" s="2">
        <v>0.43113013724427951</v>
      </c>
      <c r="N4" s="2">
        <v>12253.591101373169</v>
      </c>
      <c r="O4" s="2">
        <v>40360.432770749059</v>
      </c>
      <c r="P4" s="2">
        <v>0.27767373768494891</v>
      </c>
      <c r="Q4" s="2">
        <v>0.1249033998608072</v>
      </c>
      <c r="R4" s="2">
        <v>3.4682393888908057E-2</v>
      </c>
      <c r="S4" s="4">
        <v>0.2745678978030911</v>
      </c>
      <c r="T4" s="2">
        <v>0.55589960862205201</v>
      </c>
      <c r="U4" s="2">
        <v>15475.59873568536</v>
      </c>
      <c r="V4" s="2">
        <v>39936.256120370294</v>
      </c>
      <c r="W4" s="2">
        <v>0.32713345473766697</v>
      </c>
      <c r="X4" s="2">
        <v>0.1398797489167915</v>
      </c>
      <c r="Y4" s="2">
        <v>4.5759345510987433E-2</v>
      </c>
      <c r="Z4" s="4">
        <v>0.27290699081756198</v>
      </c>
      <c r="AA4" s="2">
        <v>0.55502815828223429</v>
      </c>
      <c r="AB4" s="2">
        <v>15587.23809434254</v>
      </c>
      <c r="AC4" s="2">
        <v>39726.128646839432</v>
      </c>
      <c r="AD4" s="2">
        <v>0.42906849377931577</v>
      </c>
      <c r="AE4" s="2">
        <v>0.1057482200849623</v>
      </c>
      <c r="AF4" s="2">
        <v>4.5373229511698338E-2</v>
      </c>
      <c r="AG4" s="4">
        <v>0.27027012674574202</v>
      </c>
      <c r="AH4" s="2">
        <v>0.49050278569418959</v>
      </c>
      <c r="AI4" s="2">
        <v>13643.057217958411</v>
      </c>
      <c r="AJ4" s="2">
        <v>33732.270243525687</v>
      </c>
      <c r="AK4" s="2">
        <v>0.7823548862819566</v>
      </c>
      <c r="AL4" s="2">
        <v>4.9002104211969183E-2</v>
      </c>
      <c r="AM4" s="2">
        <v>3.8337035668331729E-2</v>
      </c>
      <c r="AN4" s="4">
        <v>0.26655975846649299</v>
      </c>
      <c r="AO4" s="2">
        <v>0.58796500786729644</v>
      </c>
      <c r="AP4" s="2">
        <v>14069.024381611351</v>
      </c>
      <c r="AQ4" s="2">
        <v>30539.496448288879</v>
      </c>
      <c r="AR4" s="2">
        <v>0.65681178865598766</v>
      </c>
      <c r="AS4" s="2">
        <v>5.2489969243732268E-2</v>
      </c>
      <c r="AT4" s="2">
        <v>3.447603058547357E-2</v>
      </c>
      <c r="AU4" s="4">
        <v>0.28544424774735933</v>
      </c>
      <c r="AV4" s="2">
        <v>0.56916014835237283</v>
      </c>
      <c r="AW4" s="2">
        <v>15571.893997705711</v>
      </c>
      <c r="AX4" s="2">
        <v>42735.081874944954</v>
      </c>
      <c r="AY4" s="2">
        <v>1.3911064992319779</v>
      </c>
      <c r="AZ4" s="2">
        <v>3.6004062982027421E-2</v>
      </c>
      <c r="BA4" s="2">
        <v>5.0085486013055833E-2</v>
      </c>
      <c r="BB4" s="4">
        <v>0.15178125674928949</v>
      </c>
      <c r="BC4" s="2">
        <v>0.38531067751430231</v>
      </c>
      <c r="BD4" s="2">
        <v>11658.09218754245</v>
      </c>
      <c r="BE4" s="2">
        <v>35597.531982407352</v>
      </c>
      <c r="BF4" s="2">
        <v>0.2463947385341568</v>
      </c>
      <c r="BG4" s="2">
        <v>0.14050800144426001</v>
      </c>
      <c r="BH4" s="2">
        <v>3.4620432277815368E-2</v>
      </c>
    </row>
    <row r="5" spans="1:60" ht="48" x14ac:dyDescent="0.2">
      <c r="A5" s="1" t="s">
        <v>63</v>
      </c>
      <c r="B5" s="4">
        <v>0.14385917602979451</v>
      </c>
      <c r="C5" s="2">
        <v>6774.8926999999994</v>
      </c>
      <c r="D5" s="2">
        <v>11663.2</v>
      </c>
      <c r="E5" s="2">
        <v>1548</v>
      </c>
      <c r="F5" s="2">
        <v>0.33010003732131038</v>
      </c>
      <c r="G5" s="2">
        <v>0.13303769121345799</v>
      </c>
      <c r="H5" s="2">
        <v>4.38015103302659E-2</v>
      </c>
      <c r="I5" s="2">
        <v>0.20606636976751619</v>
      </c>
      <c r="J5" s="2">
        <v>4.4296652695189236</v>
      </c>
      <c r="K5" s="2">
        <v>0.58409222167013863</v>
      </c>
      <c r="L5" s="4">
        <v>0.1016236121344133</v>
      </c>
      <c r="M5" s="2">
        <v>1.9261121114263941E-2</v>
      </c>
      <c r="N5" s="2">
        <v>150.28808611421809</v>
      </c>
      <c r="O5" s="2">
        <v>7256.8398162190824</v>
      </c>
      <c r="P5" s="2">
        <v>0.33506595301765107</v>
      </c>
      <c r="Q5" s="2">
        <v>0.1286505935946439</v>
      </c>
      <c r="R5" s="2">
        <v>4.3106433749075877E-2</v>
      </c>
      <c r="S5" s="4">
        <v>5.0616068233813191E-2</v>
      </c>
      <c r="T5" s="2">
        <v>8.1611044119861961E-2</v>
      </c>
      <c r="U5" s="2">
        <v>652.05141810683824</v>
      </c>
      <c r="V5" s="2">
        <v>6913.0375978757274</v>
      </c>
      <c r="W5" s="2">
        <v>0.35800044946561471</v>
      </c>
      <c r="X5" s="2">
        <v>0.1149424505864854</v>
      </c>
      <c r="Y5" s="2">
        <v>4.1149448972641001E-2</v>
      </c>
      <c r="Z5" s="4">
        <v>5.2919013469703242E-2</v>
      </c>
      <c r="AA5" s="2">
        <v>8.1579766231734879E-2</v>
      </c>
      <c r="AB5" s="2">
        <v>651.9847412072952</v>
      </c>
      <c r="AC5" s="2">
        <v>6904.7011395235722</v>
      </c>
      <c r="AD5" s="2">
        <v>0.35801034808373139</v>
      </c>
      <c r="AE5" s="2">
        <v>0.1144841648666797</v>
      </c>
      <c r="AF5" s="2">
        <v>4.0986515713995281E-2</v>
      </c>
      <c r="AG5" s="4">
        <v>0.23043464490451859</v>
      </c>
      <c r="AH5" s="2">
        <v>5.4484741130657557E-2</v>
      </c>
      <c r="AI5" s="2">
        <v>413.83849539300331</v>
      </c>
      <c r="AJ5" s="2">
        <v>9531.1858860264801</v>
      </c>
      <c r="AK5" s="2">
        <v>0.33908453063119998</v>
      </c>
      <c r="AL5" s="2">
        <v>0.193560642453045</v>
      </c>
      <c r="AM5" s="2">
        <v>6.5633419594864295E-2</v>
      </c>
      <c r="AN5" s="4">
        <v>4.3614372539175383E-2</v>
      </c>
      <c r="AO5" s="2">
        <v>0.1165048522481643</v>
      </c>
      <c r="AP5" s="2">
        <v>1065.3327627895969</v>
      </c>
      <c r="AQ5" s="2">
        <v>7912.9974397794804</v>
      </c>
      <c r="AR5" s="2">
        <v>0.61058267045989689</v>
      </c>
      <c r="AS5" s="2">
        <v>7.7951906878469993E-2</v>
      </c>
      <c r="AT5" s="2">
        <v>4.7596083469297411E-2</v>
      </c>
      <c r="AU5" s="4">
        <v>4.4573131337256378E-2</v>
      </c>
      <c r="AV5" s="2">
        <v>8.2313733490014057E-2</v>
      </c>
      <c r="AW5" s="2">
        <v>646.66270103159377</v>
      </c>
      <c r="AX5" s="2">
        <v>6854.2642899223611</v>
      </c>
      <c r="AY5" s="2">
        <v>0.51742477658640695</v>
      </c>
      <c r="AZ5" s="2">
        <v>7.9550065398986541E-2</v>
      </c>
      <c r="BA5" s="2">
        <v>4.1161174816504671E-2</v>
      </c>
      <c r="BB5" s="4">
        <v>0.1044238074614771</v>
      </c>
      <c r="BC5" s="2">
        <v>1.347760445470891E-2</v>
      </c>
      <c r="BD5" s="2">
        <v>140.06188329962649</v>
      </c>
      <c r="BE5" s="2">
        <v>7158.7627843493037</v>
      </c>
      <c r="BF5" s="2">
        <v>0.32956273433379202</v>
      </c>
      <c r="BG5" s="2">
        <v>0.12958812391067601</v>
      </c>
      <c r="BH5" s="2">
        <v>4.2707416453188631E-2</v>
      </c>
    </row>
    <row r="6" spans="1:60" ht="32" x14ac:dyDescent="0.2">
      <c r="A6" s="1" t="s">
        <v>64</v>
      </c>
      <c r="B6" s="4">
        <v>8.571564136080094E-2</v>
      </c>
      <c r="C6" s="2">
        <v>216962.44085714291</v>
      </c>
      <c r="D6" s="2">
        <v>206411.8571428571</v>
      </c>
      <c r="E6" s="2">
        <v>17732.28571428571</v>
      </c>
      <c r="F6" s="2">
        <v>0.36625757261048442</v>
      </c>
      <c r="G6" s="2">
        <v>8.7014974588608671E-2</v>
      </c>
      <c r="H6" s="2">
        <v>3.1940695714153831E-2</v>
      </c>
      <c r="I6" s="2">
        <v>0.1763913940005829</v>
      </c>
      <c r="J6" s="2">
        <v>12.240885852441419</v>
      </c>
      <c r="K6" s="2">
        <v>1.067205612929921</v>
      </c>
      <c r="L6" s="4">
        <v>5.5508994749874169E-2</v>
      </c>
      <c r="M6" s="2">
        <v>7.1393887730329342E-2</v>
      </c>
      <c r="N6" s="2">
        <v>17764.353637525041</v>
      </c>
      <c r="O6" s="2">
        <v>271677.23538145208</v>
      </c>
      <c r="P6" s="2">
        <v>0.42311149158850048</v>
      </c>
      <c r="Q6" s="2">
        <v>8.9753553278218337E-2</v>
      </c>
      <c r="R6" s="2">
        <v>3.7975759802914913E-2</v>
      </c>
      <c r="S6" s="4">
        <v>6.9388674051216778E-2</v>
      </c>
      <c r="T6" s="2">
        <v>0.106414763323202</v>
      </c>
      <c r="U6" s="2">
        <v>28431.372415446029</v>
      </c>
      <c r="V6" s="2">
        <v>242790.99713883069</v>
      </c>
      <c r="W6" s="2">
        <v>0.41667953339464481</v>
      </c>
      <c r="X6" s="2">
        <v>8.2686374010746966E-2</v>
      </c>
      <c r="Y6" s="2">
        <v>3.4453719740893132E-2</v>
      </c>
      <c r="Z6" s="4">
        <v>6.6305568378197371E-2</v>
      </c>
      <c r="AA6" s="2">
        <v>0.1035727531033287</v>
      </c>
      <c r="AB6" s="2">
        <v>28345.238210597759</v>
      </c>
      <c r="AC6" s="2">
        <v>246755.3129153607</v>
      </c>
      <c r="AD6" s="2">
        <v>0.41793273580537188</v>
      </c>
      <c r="AE6" s="2">
        <v>8.3820468877705792E-2</v>
      </c>
      <c r="AF6" s="2">
        <v>3.5031317874548613E-2</v>
      </c>
      <c r="AG6" s="4">
        <v>5.9164242752550812E-2</v>
      </c>
      <c r="AH6" s="2">
        <v>0.1036986173640594</v>
      </c>
      <c r="AI6" s="2">
        <v>25225.23954914464</v>
      </c>
      <c r="AJ6" s="2">
        <v>241686.28224071051</v>
      </c>
      <c r="AK6" s="2">
        <v>0.3825396833016429</v>
      </c>
      <c r="AL6" s="2">
        <v>8.9829427547530233E-2</v>
      </c>
      <c r="AM6" s="2">
        <v>3.4363320765200087E-2</v>
      </c>
      <c r="AN6" s="4">
        <v>6.094316140329236E-2</v>
      </c>
      <c r="AO6" s="2">
        <v>9.0306540314212161E-2</v>
      </c>
      <c r="AP6" s="2">
        <v>25118.049983126781</v>
      </c>
      <c r="AQ6" s="2">
        <v>258181.70830379819</v>
      </c>
      <c r="AR6" s="2">
        <v>0.41114721119059261</v>
      </c>
      <c r="AS6" s="2">
        <v>8.9247618070527376E-2</v>
      </c>
      <c r="AT6" s="2">
        <v>3.6693909275100467E-2</v>
      </c>
      <c r="AU6" s="4">
        <v>6.6301338832411294E-2</v>
      </c>
      <c r="AV6" s="2">
        <v>0.10518798626375581</v>
      </c>
      <c r="AW6" s="2">
        <v>28774.09587737402</v>
      </c>
      <c r="AX6" s="2">
        <v>245974.94167099681</v>
      </c>
      <c r="AY6" s="2">
        <v>0.39665982031951108</v>
      </c>
      <c r="AZ6" s="2">
        <v>8.8036533564715275E-2</v>
      </c>
      <c r="BA6" s="2">
        <v>3.4920555585332573E-2</v>
      </c>
      <c r="BB6" s="4">
        <v>5.6005177220424647E-2</v>
      </c>
      <c r="BC6" s="2">
        <v>6.5778593634480298E-2</v>
      </c>
      <c r="BD6" s="2">
        <v>17305.65740887195</v>
      </c>
      <c r="BE6" s="2">
        <v>265974.34285809961</v>
      </c>
      <c r="BF6" s="2">
        <v>0.41526815544787882</v>
      </c>
      <c r="BG6" s="2">
        <v>9.1127568425063477E-2</v>
      </c>
      <c r="BH6" s="2">
        <v>3.7842377250326471E-2</v>
      </c>
    </row>
    <row r="7" spans="1:60" ht="48" x14ac:dyDescent="0.2">
      <c r="A7" s="1" t="s">
        <v>65</v>
      </c>
      <c r="B7" s="4">
        <v>0.1736981448609389</v>
      </c>
      <c r="C7" s="2">
        <v>18372.083666666669</v>
      </c>
      <c r="D7" s="2">
        <v>22313.066666666669</v>
      </c>
      <c r="E7" s="2">
        <v>2631.2</v>
      </c>
      <c r="F7" s="2">
        <v>0.31146270715655672</v>
      </c>
      <c r="G7" s="2">
        <v>0.1200798408400629</v>
      </c>
      <c r="H7" s="2">
        <v>3.8681261560718973E-2</v>
      </c>
      <c r="I7" s="2">
        <v>0.26483526320296619</v>
      </c>
      <c r="J7" s="2">
        <v>6.9116061177237453</v>
      </c>
      <c r="K7" s="2">
        <v>0.84545322140653334</v>
      </c>
      <c r="L7" s="4">
        <v>0.1817764991053078</v>
      </c>
      <c r="M7" s="2">
        <v>0.22323050357033461</v>
      </c>
      <c r="N7" s="2">
        <v>4509.6358894865143</v>
      </c>
      <c r="O7" s="2">
        <v>21810.451989315348</v>
      </c>
      <c r="P7" s="2">
        <v>0.3387421858086338</v>
      </c>
      <c r="Q7" s="2">
        <v>0.13059981609029339</v>
      </c>
      <c r="R7" s="2">
        <v>4.4239667168631577E-2</v>
      </c>
      <c r="S7" s="4">
        <v>0.1908090143197628</v>
      </c>
      <c r="T7" s="2">
        <v>0.2335625902313648</v>
      </c>
      <c r="U7" s="2">
        <v>4582.2705745677131</v>
      </c>
      <c r="V7" s="2">
        <v>22903.62542295401</v>
      </c>
      <c r="W7" s="2">
        <v>0.34425822086579588</v>
      </c>
      <c r="X7" s="2">
        <v>0.1387922936556735</v>
      </c>
      <c r="Y7" s="2">
        <v>4.7780388083785243E-2</v>
      </c>
      <c r="Z7" s="4">
        <v>0.18976686703089049</v>
      </c>
      <c r="AA7" s="2">
        <v>0.2409035444065554</v>
      </c>
      <c r="AB7" s="2">
        <v>4588.8637218350696</v>
      </c>
      <c r="AC7" s="2">
        <v>23157.743816979131</v>
      </c>
      <c r="AD7" s="2">
        <v>0.3441486134960724</v>
      </c>
      <c r="AE7" s="2">
        <v>0.13987613049131439</v>
      </c>
      <c r="AF7" s="2">
        <v>4.813817636978155E-2</v>
      </c>
      <c r="AG7" s="4">
        <v>0.199780317560664</v>
      </c>
      <c r="AH7" s="2">
        <v>0.2486760067252177</v>
      </c>
      <c r="AI7" s="2">
        <v>4573.4739959215203</v>
      </c>
      <c r="AJ7" s="2">
        <v>20834.852201294911</v>
      </c>
      <c r="AK7" s="2">
        <v>0.3394784948156187</v>
      </c>
      <c r="AL7" s="2">
        <v>0.13206703311449569</v>
      </c>
      <c r="AM7" s="2">
        <v>4.4833917616473477E-2</v>
      </c>
      <c r="AN7" s="4">
        <v>2.1012112552807528E-2</v>
      </c>
      <c r="AO7" s="2">
        <v>0.2501620061763527</v>
      </c>
      <c r="AP7" s="2">
        <v>4765.347987221111</v>
      </c>
      <c r="AQ7" s="2">
        <v>24934.543665727389</v>
      </c>
      <c r="AR7" s="2">
        <v>0.3869059389849055</v>
      </c>
      <c r="AS7" s="2">
        <v>0.1073965634518278</v>
      </c>
      <c r="AT7" s="2">
        <v>4.1552368226081431E-2</v>
      </c>
      <c r="AU7" s="4">
        <v>0.19868181226820891</v>
      </c>
      <c r="AV7" s="2">
        <v>0.23849240075122821</v>
      </c>
      <c r="AW7" s="2">
        <v>4613.4144840434165</v>
      </c>
      <c r="AX7" s="2">
        <v>22874.670569064911</v>
      </c>
      <c r="AY7" s="2">
        <v>0.37138461747574048</v>
      </c>
      <c r="AZ7" s="2">
        <v>0.13203524589197729</v>
      </c>
      <c r="BA7" s="2">
        <v>4.9035859288907351E-2</v>
      </c>
      <c r="BB7" s="4">
        <v>0.18811580817744969</v>
      </c>
      <c r="BC7" s="2">
        <v>0.22641981459316529</v>
      </c>
      <c r="BD7" s="2">
        <v>4434.8381308391108</v>
      </c>
      <c r="BE7" s="2">
        <v>21426.971951883152</v>
      </c>
      <c r="BF7" s="2">
        <v>0.33759340502465818</v>
      </c>
      <c r="BG7" s="2">
        <v>0.13119236270990739</v>
      </c>
      <c r="BH7" s="2">
        <v>4.4289676440467628E-2</v>
      </c>
    </row>
    <row r="8" spans="1:60" ht="48" x14ac:dyDescent="0.2">
      <c r="A8" s="1" t="s">
        <v>66</v>
      </c>
      <c r="B8" s="4">
        <v>5.8151131309084128E-2</v>
      </c>
      <c r="C8" s="2">
        <v>24372.599312499999</v>
      </c>
      <c r="D8" s="2">
        <v>27907.625</v>
      </c>
      <c r="E8" s="2">
        <v>3136.125</v>
      </c>
      <c r="F8" s="2">
        <v>0.40383957037039497</v>
      </c>
      <c r="G8" s="2">
        <v>0.12256485289441719</v>
      </c>
      <c r="H8" s="2">
        <v>4.9154416322435127E-2</v>
      </c>
      <c r="I8" s="2">
        <v>0.23272072741220209</v>
      </c>
      <c r="J8" s="2">
        <v>9.0779943232806257</v>
      </c>
      <c r="K8" s="2">
        <v>1.10473191389917</v>
      </c>
      <c r="L8" s="4">
        <v>9.0769288976694076E-2</v>
      </c>
      <c r="M8" s="2">
        <v>0.20144582014389911</v>
      </c>
      <c r="N8" s="2">
        <v>6288.7994282745294</v>
      </c>
      <c r="O8" s="2">
        <v>43329.324087658722</v>
      </c>
      <c r="P8" s="2">
        <v>0.31218386775986162</v>
      </c>
      <c r="Q8" s="2">
        <v>0.17112938441620501</v>
      </c>
      <c r="R8" s="2">
        <v>5.3423833114415072E-2</v>
      </c>
      <c r="S8" s="4">
        <v>3.7516003548438988E-2</v>
      </c>
      <c r="T8" s="2">
        <v>0.54858772158318658</v>
      </c>
      <c r="U8" s="2">
        <v>12622.845151403521</v>
      </c>
      <c r="V8" s="2">
        <v>38021.14475608147</v>
      </c>
      <c r="W8" s="2">
        <v>0.43705661581313082</v>
      </c>
      <c r="X8" s="2">
        <v>0.13543905395469241</v>
      </c>
      <c r="Y8" s="2">
        <v>5.919453457036989E-2</v>
      </c>
      <c r="Z8" s="4">
        <v>3.8021863556356873E-2</v>
      </c>
      <c r="AA8" s="2">
        <v>0.51539627739813432</v>
      </c>
      <c r="AB8" s="2">
        <v>11856.41285381848</v>
      </c>
      <c r="AC8" s="2">
        <v>36606.740926079678</v>
      </c>
      <c r="AD8" s="2">
        <v>0.49893501933137152</v>
      </c>
      <c r="AE8" s="2">
        <v>0.1142641713936471</v>
      </c>
      <c r="AF8" s="2">
        <v>5.7010396563172451E-2</v>
      </c>
      <c r="AG8" s="4">
        <v>8.51820166320333E-2</v>
      </c>
      <c r="AH8" s="2">
        <v>0.16955417000979439</v>
      </c>
      <c r="AI8" s="2">
        <v>4395.70044871153</v>
      </c>
      <c r="AJ8" s="2">
        <v>26563.923267440219</v>
      </c>
      <c r="AK8" s="2">
        <v>0.19651151522625199</v>
      </c>
      <c r="AL8" s="2">
        <v>0.2257596417606329</v>
      </c>
      <c r="AM8" s="2">
        <v>4.4364369279317813E-2</v>
      </c>
      <c r="AN8" s="4">
        <v>2.5182331336295129E-2</v>
      </c>
      <c r="AO8" s="2">
        <v>0.38209615415377868</v>
      </c>
      <c r="AP8" s="2">
        <v>8992.9597164635907</v>
      </c>
      <c r="AQ8" s="2">
        <v>32136.92349507755</v>
      </c>
      <c r="AR8" s="2">
        <v>0.53905792776422601</v>
      </c>
      <c r="AS8" s="2">
        <v>9.2557418387942444E-2</v>
      </c>
      <c r="AT8" s="2">
        <v>4.9893810155410723E-2</v>
      </c>
      <c r="AU8" s="4">
        <v>3.8166141851550428E-2</v>
      </c>
      <c r="AV8" s="2">
        <v>0.50693678414144472</v>
      </c>
      <c r="AW8" s="2">
        <v>11628.606505144129</v>
      </c>
      <c r="AX8" s="2">
        <v>36213.556092917213</v>
      </c>
      <c r="AY8" s="2">
        <v>0.78795597732946376</v>
      </c>
      <c r="AZ8" s="2">
        <v>7.1581749348801946E-2</v>
      </c>
      <c r="BA8" s="2">
        <v>5.6403267267087942E-2</v>
      </c>
      <c r="BB8" s="4">
        <v>8.7011963060444231E-2</v>
      </c>
      <c r="BC8" s="2">
        <v>0.11150487821031339</v>
      </c>
      <c r="BD8" s="2">
        <v>3112.1297557045009</v>
      </c>
      <c r="BE8" s="2">
        <v>31886.391692914302</v>
      </c>
      <c r="BF8" s="2">
        <v>0.2329895416732615</v>
      </c>
      <c r="BG8" s="2">
        <v>0.22933390985547941</v>
      </c>
      <c r="BH8" s="2">
        <v>5.3432402547365213E-2</v>
      </c>
    </row>
    <row r="9" spans="1:60" ht="48" x14ac:dyDescent="0.2">
      <c r="A9" s="1" t="s">
        <v>67</v>
      </c>
      <c r="B9" s="4">
        <v>0.1125757425009252</v>
      </c>
      <c r="C9" s="2">
        <v>6802.1706666666678</v>
      </c>
      <c r="D9" s="2">
        <v>19509.5</v>
      </c>
      <c r="E9" s="2">
        <v>1676.833333333333</v>
      </c>
      <c r="F9" s="2">
        <v>0.26786294184629811</v>
      </c>
      <c r="G9" s="2">
        <v>8.5191846446489625E-2</v>
      </c>
      <c r="H9" s="2">
        <v>2.3136360260451069E-2</v>
      </c>
      <c r="I9" s="2">
        <v>0.20795091315790609</v>
      </c>
      <c r="J9" s="2">
        <v>4.0878220754934933</v>
      </c>
      <c r="K9" s="2">
        <v>0.3481692221052915</v>
      </c>
      <c r="L9" s="4">
        <v>0.13313935492324211</v>
      </c>
      <c r="M9" s="2">
        <v>3.8334768939042412E-2</v>
      </c>
      <c r="N9" s="2">
        <v>337.22268058148779</v>
      </c>
      <c r="O9" s="2">
        <v>9232.4984019486383</v>
      </c>
      <c r="P9" s="2">
        <v>0.3161641877676914</v>
      </c>
      <c r="Q9" s="2">
        <v>0.1244702659777004</v>
      </c>
      <c r="R9" s="2">
        <v>3.935304054406815E-2</v>
      </c>
      <c r="S9" s="4">
        <v>0.16232481553777481</v>
      </c>
      <c r="T9" s="2">
        <v>0.176299357761661</v>
      </c>
      <c r="U9" s="2">
        <v>1231.3134818761989</v>
      </c>
      <c r="V9" s="2">
        <v>8055.5023349545554</v>
      </c>
      <c r="W9" s="2">
        <v>0.27627083074038888</v>
      </c>
      <c r="X9" s="2">
        <v>8.9321068553869953E-2</v>
      </c>
      <c r="Y9" s="2">
        <v>2.4676805811996879E-2</v>
      </c>
      <c r="Z9" s="4">
        <v>0.16181923629675049</v>
      </c>
      <c r="AA9" s="2">
        <v>0.1662138354223138</v>
      </c>
      <c r="AB9" s="2">
        <v>1180.3881081047909</v>
      </c>
      <c r="AC9" s="2">
        <v>8099.1194806470012</v>
      </c>
      <c r="AD9" s="2">
        <v>0.29014476355566821</v>
      </c>
      <c r="AE9" s="2">
        <v>8.6729999006824696E-2</v>
      </c>
      <c r="AF9" s="2">
        <v>2.516425505501849E-2</v>
      </c>
      <c r="AG9" s="4">
        <v>0.14174438197570199</v>
      </c>
      <c r="AH9" s="2">
        <v>0.15993226697874319</v>
      </c>
      <c r="AI9" s="2">
        <v>1088.6039179946411</v>
      </c>
      <c r="AJ9" s="2">
        <v>7742.1601467925002</v>
      </c>
      <c r="AK9" s="2">
        <v>0.2734678919573148</v>
      </c>
      <c r="AL9" s="2">
        <v>0.12513326204952391</v>
      </c>
      <c r="AM9" s="2">
        <v>3.4219929386425547E-2</v>
      </c>
      <c r="AN9" s="4">
        <v>7.8239376381370324E-2</v>
      </c>
      <c r="AO9" s="2">
        <v>0.23038320006323429</v>
      </c>
      <c r="AP9" s="2">
        <v>1662.994385799235</v>
      </c>
      <c r="AQ9" s="2">
        <v>7651.7296607182634</v>
      </c>
      <c r="AR9" s="2">
        <v>0.8844038945292515</v>
      </c>
      <c r="AS9" s="2">
        <v>2.000956939020241E-2</v>
      </c>
      <c r="AT9" s="2">
        <v>1.7696541096548311E-2</v>
      </c>
      <c r="AU9" s="4">
        <v>0.15564122509222489</v>
      </c>
      <c r="AV9" s="2">
        <v>0.16388455850460029</v>
      </c>
      <c r="AW9" s="2">
        <v>1142.376937227137</v>
      </c>
      <c r="AX9" s="2">
        <v>7838.6720315530738</v>
      </c>
      <c r="AY9" s="2">
        <v>0.3244433037324696</v>
      </c>
      <c r="AZ9" s="2">
        <v>8.7792459933626082E-2</v>
      </c>
      <c r="BA9" s="2">
        <v>2.8483675743666111E-2</v>
      </c>
      <c r="BB9" s="4">
        <v>0.13565313577169311</v>
      </c>
      <c r="BC9" s="2">
        <v>1.9478834615913179E-2</v>
      </c>
      <c r="BD9" s="2">
        <v>251.53980644591701</v>
      </c>
      <c r="BE9" s="2">
        <v>9966.6418915966351</v>
      </c>
      <c r="BF9" s="2">
        <v>0.3440147779965943</v>
      </c>
      <c r="BG9" s="2">
        <v>0.12881500703793869</v>
      </c>
      <c r="BH9" s="2">
        <v>4.4314266048786209E-2</v>
      </c>
    </row>
    <row r="10" spans="1:60" ht="48" x14ac:dyDescent="0.2">
      <c r="A10" s="1" t="s">
        <v>68</v>
      </c>
      <c r="B10" s="4">
        <v>0.20346730379533409</v>
      </c>
      <c r="C10" s="2">
        <v>12753.052</v>
      </c>
      <c r="D10" s="2">
        <v>14343.4</v>
      </c>
      <c r="E10" s="2">
        <v>1508</v>
      </c>
      <c r="F10" s="2">
        <v>0.49851840861980778</v>
      </c>
      <c r="G10" s="2">
        <v>0.1069073338172107</v>
      </c>
      <c r="H10" s="2">
        <v>5.3591274065667348E-2</v>
      </c>
      <c r="I10" s="2">
        <v>0.19951422758964649</v>
      </c>
      <c r="J10" s="2">
        <v>8.4143470757267416</v>
      </c>
      <c r="K10" s="2">
        <v>0.89882573952560796</v>
      </c>
      <c r="L10" s="4">
        <v>0.1092368586087218</v>
      </c>
      <c r="M10" s="2">
        <v>3.0540790824211409E-2</v>
      </c>
      <c r="N10" s="2">
        <v>418.84719845270411</v>
      </c>
      <c r="O10" s="2">
        <v>17862.659496026768</v>
      </c>
      <c r="P10" s="2">
        <v>0.49460935119783223</v>
      </c>
      <c r="Q10" s="2">
        <v>0.1229543272091108</v>
      </c>
      <c r="R10" s="2">
        <v>6.081436000786427E-2</v>
      </c>
      <c r="S10" s="4">
        <v>0.14303817850926409</v>
      </c>
      <c r="T10" s="2">
        <v>0.2179473859024883</v>
      </c>
      <c r="U10" s="2">
        <v>2948.3135946449052</v>
      </c>
      <c r="V10" s="2">
        <v>14247.012265788469</v>
      </c>
      <c r="W10" s="2">
        <v>0.51131029988614862</v>
      </c>
      <c r="X10" s="2">
        <v>9.9478878046198982E-2</v>
      </c>
      <c r="Y10" s="2">
        <v>5.0864574966139608E-2</v>
      </c>
      <c r="Z10" s="4">
        <v>0.14015643638480499</v>
      </c>
      <c r="AA10" s="2">
        <v>0.22169516355793389</v>
      </c>
      <c r="AB10" s="2">
        <v>2983.8457303492169</v>
      </c>
      <c r="AC10" s="2">
        <v>14302.67440469935</v>
      </c>
      <c r="AD10" s="2">
        <v>0.51294536134239788</v>
      </c>
      <c r="AE10" s="2">
        <v>9.8950123101310544E-2</v>
      </c>
      <c r="AF10" s="2">
        <v>5.0756006649076493E-2</v>
      </c>
      <c r="AG10" s="4">
        <v>0.1368075462103073</v>
      </c>
      <c r="AH10" s="2">
        <v>0.1722038963533194</v>
      </c>
      <c r="AI10" s="2">
        <v>2343.2309993674239</v>
      </c>
      <c r="AJ10" s="2">
        <v>14213.09948516411</v>
      </c>
      <c r="AK10" s="2">
        <v>0.41608034038429592</v>
      </c>
      <c r="AL10" s="2">
        <v>0.12042151958140471</v>
      </c>
      <c r="AM10" s="2">
        <v>5.0105026857025031E-2</v>
      </c>
      <c r="AN10" s="4">
        <v>0.1229269892942864</v>
      </c>
      <c r="AO10" s="2">
        <v>0.17557037723108659</v>
      </c>
      <c r="AP10" s="2">
        <v>2434.8298884507658</v>
      </c>
      <c r="AQ10" s="2">
        <v>14997.04079277317</v>
      </c>
      <c r="AR10" s="2">
        <v>0.42659091692678269</v>
      </c>
      <c r="AS10" s="2">
        <v>0.1211770890494575</v>
      </c>
      <c r="AT10" s="2">
        <v>5.1693045528126473E-2</v>
      </c>
      <c r="AU10" s="4">
        <v>0.14242575925297721</v>
      </c>
      <c r="AV10" s="2">
        <v>0.24067554338240299</v>
      </c>
      <c r="AW10" s="2">
        <v>3200.7556882040772</v>
      </c>
      <c r="AX10" s="2">
        <v>14110.611536658131</v>
      </c>
      <c r="AY10" s="2">
        <v>0.41823112872732399</v>
      </c>
      <c r="AZ10" s="2">
        <v>0.12029654208343191</v>
      </c>
      <c r="BA10" s="2">
        <v>5.0311758577547758E-2</v>
      </c>
      <c r="BB10" s="4">
        <v>0.1122333144920393</v>
      </c>
      <c r="BC10" s="2">
        <v>2.806536496095971E-2</v>
      </c>
      <c r="BD10" s="2">
        <v>385.63919161345552</v>
      </c>
      <c r="BE10" s="2">
        <v>17444.67581974134</v>
      </c>
      <c r="BF10" s="2">
        <v>0.48586198766528582</v>
      </c>
      <c r="BG10" s="2">
        <v>0.12239906866899559</v>
      </c>
      <c r="BH10" s="2">
        <v>5.9469054791898013E-2</v>
      </c>
    </row>
    <row r="11" spans="1:60" ht="32" x14ac:dyDescent="0.2">
      <c r="A11" s="1" t="s">
        <v>69</v>
      </c>
      <c r="B11" s="4">
        <v>0.18284115984176691</v>
      </c>
      <c r="C11" s="2">
        <v>15550.179937499999</v>
      </c>
      <c r="D11" s="2">
        <v>22303.125</v>
      </c>
      <c r="E11" s="2">
        <v>2753.125</v>
      </c>
      <c r="F11" s="2">
        <v>0.32750983659015331</v>
      </c>
      <c r="G11" s="2">
        <v>0.1205724481462596</v>
      </c>
      <c r="H11" s="2">
        <v>3.9795318080491603E-2</v>
      </c>
      <c r="I11" s="2">
        <v>0.25598781838516338</v>
      </c>
      <c r="J11" s="2">
        <v>5.8066805349099226</v>
      </c>
      <c r="K11" s="2">
        <v>0.68560916628595459</v>
      </c>
      <c r="L11" s="4">
        <v>0.24041959181951969</v>
      </c>
      <c r="M11" s="2">
        <v>0.20805898582188459</v>
      </c>
      <c r="N11" s="2">
        <v>2977.628594483594</v>
      </c>
      <c r="O11" s="2">
        <v>20448.06412722938</v>
      </c>
      <c r="P11" s="2">
        <v>0.34256949088493011</v>
      </c>
      <c r="Q11" s="2">
        <v>0.17298502395226381</v>
      </c>
      <c r="R11" s="2">
        <v>5.9259391586044437E-2</v>
      </c>
      <c r="S11" s="4">
        <v>0.2262364782182415</v>
      </c>
      <c r="T11" s="2">
        <v>0.29045085222298578</v>
      </c>
      <c r="U11" s="2">
        <v>3806.813273801235</v>
      </c>
      <c r="V11" s="2">
        <v>18071.787298022551</v>
      </c>
      <c r="W11" s="2">
        <v>0.3620450301076239</v>
      </c>
      <c r="X11" s="2">
        <v>0.13858631025961551</v>
      </c>
      <c r="Y11" s="2">
        <v>5.0174484870447018E-2</v>
      </c>
      <c r="Z11" s="4">
        <v>0.21823657206267091</v>
      </c>
      <c r="AA11" s="2">
        <v>0.28254147909225408</v>
      </c>
      <c r="AB11" s="2">
        <v>3729.9416536844819</v>
      </c>
      <c r="AC11" s="2">
        <v>18026.11692439091</v>
      </c>
      <c r="AD11" s="2">
        <v>0.36547039234410161</v>
      </c>
      <c r="AE11" s="2">
        <v>0.13275972839058381</v>
      </c>
      <c r="AF11" s="2">
        <v>4.8519750022403038E-2</v>
      </c>
      <c r="AG11" s="4">
        <v>0.1675233602889763</v>
      </c>
      <c r="AH11" s="2">
        <v>0.32488703739596392</v>
      </c>
      <c r="AI11" s="2">
        <v>4446.3705917685556</v>
      </c>
      <c r="AJ11" s="2">
        <v>15965.935008954</v>
      </c>
      <c r="AK11" s="2">
        <v>0.41188973144954483</v>
      </c>
      <c r="AL11" s="2">
        <v>8.9549110467776902E-2</v>
      </c>
      <c r="AM11" s="2">
        <v>3.6884359062118247E-2</v>
      </c>
      <c r="AN11" s="4">
        <v>0.19657286421158451</v>
      </c>
      <c r="AO11" s="2">
        <v>0.46400256980852511</v>
      </c>
      <c r="AP11" s="2">
        <v>6222.3813923473263</v>
      </c>
      <c r="AQ11" s="2">
        <v>17475.993862728261</v>
      </c>
      <c r="AR11" s="2">
        <v>0.38346881618320772</v>
      </c>
      <c r="AS11" s="2">
        <v>0.1138334647723485</v>
      </c>
      <c r="AT11" s="2">
        <v>4.3651583978285349E-2</v>
      </c>
      <c r="AU11" s="4">
        <v>0.2250880708853677</v>
      </c>
      <c r="AV11" s="2">
        <v>0.27042034753250249</v>
      </c>
      <c r="AW11" s="2">
        <v>3594.5203217324761</v>
      </c>
      <c r="AX11" s="2">
        <v>18202.399586520671</v>
      </c>
      <c r="AY11" s="2">
        <v>0.33434439239903241</v>
      </c>
      <c r="AZ11" s="2">
        <v>0.15046502264519171</v>
      </c>
      <c r="BA11" s="2">
        <v>5.0307136573613277E-2</v>
      </c>
      <c r="BB11" s="4">
        <v>0.24355847347371809</v>
      </c>
      <c r="BC11" s="2">
        <v>0.19701788279822011</v>
      </c>
      <c r="BD11" s="2">
        <v>2863.0382338329832</v>
      </c>
      <c r="BE11" s="2">
        <v>20563.930821563441</v>
      </c>
      <c r="BF11" s="2">
        <v>0.33832534123174279</v>
      </c>
      <c r="BG11" s="2">
        <v>0.18156287323700071</v>
      </c>
      <c r="BH11" s="2">
        <v>6.1427321042923942E-2</v>
      </c>
    </row>
    <row r="12" spans="1:60" ht="48" x14ac:dyDescent="0.2">
      <c r="A12" s="1" t="s">
        <v>70</v>
      </c>
      <c r="B12" s="4">
        <v>0.18744826330919989</v>
      </c>
      <c r="C12" s="2">
        <v>8906.3014999999996</v>
      </c>
      <c r="D12" s="2">
        <v>27466.5</v>
      </c>
      <c r="E12" s="2">
        <v>2186.833333333333</v>
      </c>
      <c r="F12" s="2">
        <v>0.3132746711244157</v>
      </c>
      <c r="G12" s="2">
        <v>8.0433700431638569E-2</v>
      </c>
      <c r="H12" s="2">
        <v>2.5692379137955041E-2</v>
      </c>
      <c r="I12" s="2">
        <v>0.20292970796065529</v>
      </c>
      <c r="J12" s="2">
        <v>4.1707844400185126</v>
      </c>
      <c r="K12" s="2">
        <v>0.32976152867971392</v>
      </c>
      <c r="L12" s="4">
        <v>0.13715537555736071</v>
      </c>
      <c r="M12" s="2">
        <v>4.9757201434816829E-2</v>
      </c>
      <c r="N12" s="2">
        <v>538.72132198337431</v>
      </c>
      <c r="O12" s="2">
        <v>9840.4128059028972</v>
      </c>
      <c r="P12" s="2">
        <v>0.29171309538963791</v>
      </c>
      <c r="Q12" s="2">
        <v>7.8102468481374004E-2</v>
      </c>
      <c r="R12" s="2">
        <v>2.2783512838273241E-2</v>
      </c>
      <c r="S12" s="4">
        <v>0.30983862391153472</v>
      </c>
      <c r="T12" s="2">
        <v>7.5635206288114751E-2</v>
      </c>
      <c r="U12" s="2">
        <v>1028.0014438877231</v>
      </c>
      <c r="V12" s="2">
        <v>11083.554140728031</v>
      </c>
      <c r="W12" s="2">
        <v>0.35722703343297357</v>
      </c>
      <c r="X12" s="2">
        <v>0.1103951736844455</v>
      </c>
      <c r="Y12" s="2">
        <v>3.943614040061235E-2</v>
      </c>
      <c r="Z12" s="4">
        <v>0.30714835476900532</v>
      </c>
      <c r="AA12" s="2">
        <v>7.6366480252991698E-2</v>
      </c>
      <c r="AB12" s="2">
        <v>1035.0867377305919</v>
      </c>
      <c r="AC12" s="2">
        <v>11081.556433040971</v>
      </c>
      <c r="AD12" s="2">
        <v>0.38756838749458722</v>
      </c>
      <c r="AE12" s="2">
        <v>0.1007778120597094</v>
      </c>
      <c r="AF12" s="2">
        <v>3.905829411521413E-2</v>
      </c>
      <c r="AG12" s="4">
        <v>0.28320180126935229</v>
      </c>
      <c r="AH12" s="2">
        <v>9.3432416022699763E-2</v>
      </c>
      <c r="AI12" s="2">
        <v>1050.488182726217</v>
      </c>
      <c r="AJ12" s="2">
        <v>10031.61454178551</v>
      </c>
      <c r="AK12" s="2">
        <v>0.49826199851919162</v>
      </c>
      <c r="AL12" s="2">
        <v>6.5571889830135371E-2</v>
      </c>
      <c r="AM12" s="2">
        <v>3.2671980873443508E-2</v>
      </c>
      <c r="AN12" s="4">
        <v>8.7670900407206029E-2</v>
      </c>
      <c r="AO12" s="2">
        <v>0.1231539016886237</v>
      </c>
      <c r="AP12" s="2">
        <v>1407.1042508885421</v>
      </c>
      <c r="AQ12" s="2">
        <v>9627.9983023908462</v>
      </c>
      <c r="AR12" s="2">
        <v>0.33573884010550209</v>
      </c>
      <c r="AS12" s="2">
        <v>6.596083894601884E-2</v>
      </c>
      <c r="AT12" s="2">
        <v>2.2145615560122199E-2</v>
      </c>
      <c r="AU12" s="4">
        <v>0.33083020050354239</v>
      </c>
      <c r="AV12" s="2">
        <v>9.3578079452813115E-2</v>
      </c>
      <c r="AW12" s="2">
        <v>1073.8538071705891</v>
      </c>
      <c r="AX12" s="2">
        <v>11615.390291552631</v>
      </c>
      <c r="AY12" s="2">
        <v>0.52991611118335469</v>
      </c>
      <c r="AZ12" s="2">
        <v>8.4308340699097567E-2</v>
      </c>
      <c r="BA12" s="2">
        <v>4.4676348043587132E-2</v>
      </c>
      <c r="BB12" s="4">
        <v>0.13913856521859749</v>
      </c>
      <c r="BC12" s="2">
        <v>1.900758995548122E-2</v>
      </c>
      <c r="BD12" s="2">
        <v>252.84656143062739</v>
      </c>
      <c r="BE12" s="2">
        <v>9264.6897276573072</v>
      </c>
      <c r="BF12" s="2">
        <v>0.27492654874740402</v>
      </c>
      <c r="BG12" s="2">
        <v>8.0920402132295163E-2</v>
      </c>
      <c r="BH12" s="2">
        <v>2.2247166881483978E-2</v>
      </c>
    </row>
    <row r="13" spans="1:60" ht="32" x14ac:dyDescent="0.2">
      <c r="A13" s="1" t="s">
        <v>71</v>
      </c>
      <c r="B13" s="4">
        <v>0.20402743380812111</v>
      </c>
      <c r="C13" s="2">
        <v>9891.285045454546</v>
      </c>
      <c r="D13" s="2">
        <v>23522</v>
      </c>
      <c r="E13" s="2">
        <v>1565.272727272727</v>
      </c>
      <c r="F13" s="2">
        <v>0.34223700026193787</v>
      </c>
      <c r="G13" s="2">
        <v>7.1115535483176756E-2</v>
      </c>
      <c r="H13" s="2">
        <v>2.4853789949987552E-2</v>
      </c>
      <c r="I13" s="2">
        <v>0.17151440597900619</v>
      </c>
      <c r="J13" s="2">
        <v>6.3534618107072109</v>
      </c>
      <c r="K13" s="2">
        <v>0.4607015516600716</v>
      </c>
      <c r="L13" s="4">
        <v>0.1827017898494073</v>
      </c>
      <c r="M13" s="2">
        <v>0.1065684427658275</v>
      </c>
      <c r="N13" s="2">
        <v>1147.613369074887</v>
      </c>
      <c r="O13" s="2">
        <v>10966.06374208709</v>
      </c>
      <c r="P13" s="2">
        <v>0.35258144298043842</v>
      </c>
      <c r="Q13" s="2">
        <v>6.9913872926138459E-2</v>
      </c>
      <c r="R13" s="2">
        <v>2.46503342006489E-2</v>
      </c>
      <c r="S13" s="4">
        <v>0.18475788590566211</v>
      </c>
      <c r="T13" s="2">
        <v>0.1269507099985443</v>
      </c>
      <c r="U13" s="2">
        <v>1387.2073130576291</v>
      </c>
      <c r="V13" s="2">
        <v>11911.792497168681</v>
      </c>
      <c r="W13" s="2">
        <v>0.35144302903185443</v>
      </c>
      <c r="X13" s="2">
        <v>7.7707980817538047E-2</v>
      </c>
      <c r="Y13" s="2">
        <v>2.7309928158464811E-2</v>
      </c>
      <c r="Z13" s="4">
        <v>0.18598136938518761</v>
      </c>
      <c r="AA13" s="2">
        <v>0.138536830425006</v>
      </c>
      <c r="AB13" s="2">
        <v>1519.3313956070549</v>
      </c>
      <c r="AC13" s="2">
        <v>12142.01585297991</v>
      </c>
      <c r="AD13" s="2">
        <v>0.34488706473820469</v>
      </c>
      <c r="AE13" s="2">
        <v>8.0848420004297539E-2</v>
      </c>
      <c r="AF13" s="2">
        <v>2.788357426400373E-2</v>
      </c>
      <c r="AG13" s="4">
        <v>0.1847073958530206</v>
      </c>
      <c r="AH13" s="2">
        <v>0.1107750242398777</v>
      </c>
      <c r="AI13" s="2">
        <v>1212.46354533867</v>
      </c>
      <c r="AJ13" s="2">
        <v>11073.77724515561</v>
      </c>
      <c r="AK13" s="2">
        <v>0.35512274961719031</v>
      </c>
      <c r="AL13" s="2">
        <v>7.1487531159994108E-2</v>
      </c>
      <c r="AM13" s="2">
        <v>2.5386848628881679E-2</v>
      </c>
      <c r="AN13" s="4">
        <v>0.15780759703530631</v>
      </c>
      <c r="AO13" s="2">
        <v>0.17500812623261219</v>
      </c>
      <c r="AP13" s="2">
        <v>1924.3182676963561</v>
      </c>
      <c r="AQ13" s="2">
        <v>10708.497720017809</v>
      </c>
      <c r="AR13" s="2">
        <v>0.38934448292408602</v>
      </c>
      <c r="AS13" s="2">
        <v>5.8876887369429289E-2</v>
      </c>
      <c r="AT13" s="2">
        <v>2.2923391269030091E-2</v>
      </c>
      <c r="AU13" s="4">
        <v>0.1876180091920043</v>
      </c>
      <c r="AV13" s="2">
        <v>0.1473822114947558</v>
      </c>
      <c r="AW13" s="2">
        <v>1618.6744161846759</v>
      </c>
      <c r="AX13" s="2">
        <v>12373.52819108712</v>
      </c>
      <c r="AY13" s="2">
        <v>0.39580408154224112</v>
      </c>
      <c r="AZ13" s="2">
        <v>7.1938102911958818E-2</v>
      </c>
      <c r="BA13" s="2">
        <v>2.8473394750959079E-2</v>
      </c>
      <c r="BB13" s="4">
        <v>0.1839468693730521</v>
      </c>
      <c r="BC13" s="2">
        <v>0.1066481471945397</v>
      </c>
      <c r="BD13" s="2">
        <v>1164.6464286125249</v>
      </c>
      <c r="BE13" s="2">
        <v>10927.40914507816</v>
      </c>
      <c r="BF13" s="2">
        <v>0.35074345211494051</v>
      </c>
      <c r="BG13" s="2">
        <v>7.1346548049653638E-2</v>
      </c>
      <c r="BH13" s="2">
        <v>2.5024334559419988E-2</v>
      </c>
    </row>
    <row r="14" spans="1:60" ht="48" x14ac:dyDescent="0.2">
      <c r="A14" s="1" t="s">
        <v>72</v>
      </c>
      <c r="B14" s="4">
        <v>0.12440166068432371</v>
      </c>
      <c r="C14" s="2">
        <v>29797.584944444439</v>
      </c>
      <c r="D14" s="2">
        <v>36960.666666666657</v>
      </c>
      <c r="E14" s="2">
        <v>4504.4444444444443</v>
      </c>
      <c r="F14" s="2">
        <v>0.30493617235968717</v>
      </c>
      <c r="G14" s="2">
        <v>0.1233304316923495</v>
      </c>
      <c r="H14" s="2">
        <v>3.7354012884823928E-2</v>
      </c>
      <c r="I14" s="2">
        <v>0.20435417369397671</v>
      </c>
      <c r="J14" s="2">
        <v>6.6168133154543689</v>
      </c>
      <c r="K14" s="2">
        <v>0.81419062916549834</v>
      </c>
      <c r="L14" s="4">
        <v>0.14580387303444181</v>
      </c>
      <c r="M14" s="2">
        <v>7.5742816944487437E-2</v>
      </c>
      <c r="N14" s="2">
        <v>2554.256518719706</v>
      </c>
      <c r="O14" s="2">
        <v>33853.045211144541</v>
      </c>
      <c r="P14" s="2">
        <v>0.32206474764523418</v>
      </c>
      <c r="Q14" s="2">
        <v>0.12660643716117789</v>
      </c>
      <c r="R14" s="2">
        <v>4.0775470234576963E-2</v>
      </c>
      <c r="S14" s="4">
        <v>0.14665934785854179</v>
      </c>
      <c r="T14" s="2">
        <v>8.0966822574084885E-2</v>
      </c>
      <c r="U14" s="2">
        <v>2624.1105175269722</v>
      </c>
      <c r="V14" s="2">
        <v>34878.558080778901</v>
      </c>
      <c r="W14" s="2">
        <v>0.32279494667559561</v>
      </c>
      <c r="X14" s="2">
        <v>0.13023581338105181</v>
      </c>
      <c r="Y14" s="2">
        <v>4.2039462435589411E-2</v>
      </c>
      <c r="Z14" s="4">
        <v>0.1455389168169838</v>
      </c>
      <c r="AA14" s="2">
        <v>8.1686431230292164E-2</v>
      </c>
      <c r="AB14" s="2">
        <v>2643.0487178532071</v>
      </c>
      <c r="AC14" s="2">
        <v>34775.203053004552</v>
      </c>
      <c r="AD14" s="2">
        <v>0.32185952729482631</v>
      </c>
      <c r="AE14" s="2">
        <v>0.1301007464439887</v>
      </c>
      <c r="AF14" s="2">
        <v>4.187416475116626E-2</v>
      </c>
      <c r="AG14" s="4">
        <v>0.15150821399639239</v>
      </c>
      <c r="AH14" s="2">
        <v>8.569500280316783E-2</v>
      </c>
      <c r="AI14" s="2">
        <v>2954.4722958994721</v>
      </c>
      <c r="AJ14" s="2">
        <v>32450.7524278651</v>
      </c>
      <c r="AK14" s="2">
        <v>0.31385601394520268</v>
      </c>
      <c r="AL14" s="2">
        <v>0.1252264431959377</v>
      </c>
      <c r="AM14" s="2">
        <v>3.9303072302012368E-2</v>
      </c>
      <c r="AN14" s="4">
        <v>0.16415525657746749</v>
      </c>
      <c r="AO14" s="2">
        <v>0.1088441377211138</v>
      </c>
      <c r="AP14" s="2">
        <v>3753.895893973935</v>
      </c>
      <c r="AQ14" s="2">
        <v>33032.037585932943</v>
      </c>
      <c r="AR14" s="2">
        <v>0.33439532549011591</v>
      </c>
      <c r="AS14" s="2">
        <v>0.1218298720501193</v>
      </c>
      <c r="AT14" s="2">
        <v>4.0739339718618817E-2</v>
      </c>
      <c r="AU14" s="4">
        <v>0.14916326521174281</v>
      </c>
      <c r="AV14" s="2">
        <v>8.4777712918797335E-2</v>
      </c>
      <c r="AW14" s="2">
        <v>2731.515650822259</v>
      </c>
      <c r="AX14" s="2">
        <v>34866.830574820553</v>
      </c>
      <c r="AY14" s="2">
        <v>0.33484271599966747</v>
      </c>
      <c r="AZ14" s="2">
        <v>0.1258052774241874</v>
      </c>
      <c r="BA14" s="2">
        <v>4.2124980779806559E-2</v>
      </c>
      <c r="BB14" s="4">
        <v>0.14864932077741139</v>
      </c>
      <c r="BC14" s="2">
        <v>8.01652996920518E-2</v>
      </c>
      <c r="BD14" s="2">
        <v>2645.7492881173662</v>
      </c>
      <c r="BE14" s="2">
        <v>33807.388346616681</v>
      </c>
      <c r="BF14" s="2">
        <v>0.32418320701904718</v>
      </c>
      <c r="BG14" s="2">
        <v>0.12592948154612779</v>
      </c>
      <c r="BH14" s="2">
        <v>4.0824223185869632E-2</v>
      </c>
    </row>
    <row r="15" spans="1:60" ht="32" x14ac:dyDescent="0.2">
      <c r="A15" s="1" t="s">
        <v>73</v>
      </c>
      <c r="B15" s="4">
        <v>0.1023919166332667</v>
      </c>
      <c r="C15" s="2">
        <v>8186.9226666666682</v>
      </c>
      <c r="D15" s="2">
        <v>15604.33333333333</v>
      </c>
      <c r="E15" s="2">
        <v>1336.666666666667</v>
      </c>
      <c r="F15" s="2">
        <v>0.39011476466795608</v>
      </c>
      <c r="G15" s="2">
        <v>8.5662612632745661E-2</v>
      </c>
      <c r="H15" s="2">
        <v>3.316953381561373E-2</v>
      </c>
      <c r="I15" s="2">
        <v>0.1789069993858434</v>
      </c>
      <c r="J15" s="2">
        <v>6.1776185248226936</v>
      </c>
      <c r="K15" s="2">
        <v>0.52525285799602539</v>
      </c>
      <c r="L15" s="4">
        <v>0.1161698522341667</v>
      </c>
      <c r="M15" s="2">
        <v>4.697198994683039E-6</v>
      </c>
      <c r="N15" s="2">
        <v>4.5502666245728698E-2</v>
      </c>
      <c r="O15" s="2">
        <v>9047.9904362575453</v>
      </c>
      <c r="P15" s="2">
        <v>0.37598104098951129</v>
      </c>
      <c r="Q15" s="2">
        <v>9.8325854284277286E-2</v>
      </c>
      <c r="R15" s="2">
        <v>3.6968657049985573E-2</v>
      </c>
      <c r="S15" s="4">
        <v>0.17098368043979839</v>
      </c>
      <c r="T15" s="2">
        <v>7.2387344255392894E-2</v>
      </c>
      <c r="U15" s="2">
        <v>654.81002062360108</v>
      </c>
      <c r="V15" s="2">
        <v>9496.5060083753888</v>
      </c>
      <c r="W15" s="2">
        <v>0.34601492375872839</v>
      </c>
      <c r="X15" s="2">
        <v>0.1101404973940343</v>
      </c>
      <c r="Y15" s="2">
        <v>3.8110255808545213E-2</v>
      </c>
      <c r="Z15" s="4">
        <v>0.17098368043979839</v>
      </c>
      <c r="AA15" s="2">
        <v>7.2387344255392658E-2</v>
      </c>
      <c r="AB15" s="2">
        <v>654.81002062360187</v>
      </c>
      <c r="AC15" s="2">
        <v>9456.074117628239</v>
      </c>
      <c r="AD15" s="2">
        <v>0.32928884239494932</v>
      </c>
      <c r="AE15" s="2">
        <v>0.1152422871240314</v>
      </c>
      <c r="AF15" s="2">
        <v>3.7947999322018693E-2</v>
      </c>
      <c r="AG15" s="4">
        <v>0.17098368043979839</v>
      </c>
      <c r="AH15" s="2">
        <v>5.883900754424156E-2</v>
      </c>
      <c r="AI15" s="2">
        <v>515.376861182482</v>
      </c>
      <c r="AJ15" s="2">
        <v>9150.3812660099975</v>
      </c>
      <c r="AK15" s="2">
        <v>0.43625425015816249</v>
      </c>
      <c r="AL15" s="2">
        <v>8.4173916648756411E-2</v>
      </c>
      <c r="AM15" s="2">
        <v>3.6721228890478901E-2</v>
      </c>
      <c r="AN15" s="4">
        <v>4.0875661636106772E-2</v>
      </c>
      <c r="AO15" s="2">
        <v>0.1253499534350595</v>
      </c>
      <c r="AP15" s="2">
        <v>1088.8772464140529</v>
      </c>
      <c r="AQ15" s="2">
        <v>9327.2615194659757</v>
      </c>
      <c r="AR15" s="2">
        <v>0.70757816450361932</v>
      </c>
      <c r="AS15" s="2">
        <v>5.3684128192416809E-2</v>
      </c>
      <c r="AT15" s="2">
        <v>3.7985716889367291E-2</v>
      </c>
      <c r="AU15" s="4">
        <v>0.17098368043979839</v>
      </c>
      <c r="AV15" s="2">
        <v>7.2392068811255539E-2</v>
      </c>
      <c r="AW15" s="2">
        <v>654.85427943951561</v>
      </c>
      <c r="AX15" s="2">
        <v>9376.1734920871568</v>
      </c>
      <c r="AY15" s="2">
        <v>0.44701913693339812</v>
      </c>
      <c r="AZ15" s="2">
        <v>8.4173916648756397E-2</v>
      </c>
      <c r="BA15" s="2">
        <v>3.762735157263087E-2</v>
      </c>
      <c r="BB15" s="4">
        <v>0.11855460071927271</v>
      </c>
      <c r="BC15" s="2">
        <v>4.6024279183016613E-16</v>
      </c>
      <c r="BD15" s="2">
        <v>3.929466219177424E-12</v>
      </c>
      <c r="BE15" s="2">
        <v>9139.433741624327</v>
      </c>
      <c r="BF15" s="2">
        <v>0.37802199731791319</v>
      </c>
      <c r="BG15" s="2">
        <v>9.8022599159704876E-2</v>
      </c>
      <c r="BH15" s="2">
        <v>3.7054698716644838E-2</v>
      </c>
    </row>
    <row r="16" spans="1:60" ht="48" x14ac:dyDescent="0.2">
      <c r="A16" s="1" t="s">
        <v>74</v>
      </c>
      <c r="B16" s="4">
        <v>0.14521301364970221</v>
      </c>
      <c r="C16" s="2">
        <v>10118.105</v>
      </c>
      <c r="D16" s="2">
        <v>23040.666666666672</v>
      </c>
      <c r="E16" s="2">
        <v>1926</v>
      </c>
      <c r="F16" s="2">
        <v>0.31601385081272321</v>
      </c>
      <c r="G16" s="2">
        <v>8.4347499027718542E-2</v>
      </c>
      <c r="H16" s="2">
        <v>2.6852093457732609E-2</v>
      </c>
      <c r="I16" s="2">
        <v>0.15810077722907559</v>
      </c>
      <c r="J16" s="2">
        <v>5.4099680206955147</v>
      </c>
      <c r="K16" s="2">
        <v>0.45610098804114602</v>
      </c>
      <c r="L16" s="4">
        <v>0.10147492274890201</v>
      </c>
      <c r="M16" s="2">
        <v>0.1053165153177454</v>
      </c>
      <c r="N16" s="2">
        <v>1261.0698110325709</v>
      </c>
      <c r="O16" s="2">
        <v>13779.803596003179</v>
      </c>
      <c r="P16" s="2">
        <v>0.36859531752973668</v>
      </c>
      <c r="Q16" s="2">
        <v>9.992679995890387E-2</v>
      </c>
      <c r="R16" s="2">
        <v>3.6832550560582662E-2</v>
      </c>
      <c r="S16" s="4">
        <v>0.1691907075208578</v>
      </c>
      <c r="T16" s="2">
        <v>0.29612150300396489</v>
      </c>
      <c r="U16" s="2">
        <v>3090.6946108130578</v>
      </c>
      <c r="V16" s="2">
        <v>12310.655760060439</v>
      </c>
      <c r="W16" s="2">
        <v>0.33448104599577461</v>
      </c>
      <c r="X16" s="2">
        <v>9.5512488274561352E-2</v>
      </c>
      <c r="Y16" s="2">
        <v>3.1947116983734432E-2</v>
      </c>
      <c r="Z16" s="4">
        <v>0.17074442807777701</v>
      </c>
      <c r="AA16" s="2">
        <v>0.30800012968623519</v>
      </c>
      <c r="AB16" s="2">
        <v>3215.157514640297</v>
      </c>
      <c r="AC16" s="2">
        <v>12403.76137912476</v>
      </c>
      <c r="AD16" s="2">
        <v>0.32898527376828779</v>
      </c>
      <c r="AE16" s="2">
        <v>9.7787625701941994E-2</v>
      </c>
      <c r="AF16" s="2">
        <v>3.217068881270424E-2</v>
      </c>
      <c r="AG16" s="4">
        <v>0.17344660600660061</v>
      </c>
      <c r="AH16" s="2">
        <v>0.180190545607014</v>
      </c>
      <c r="AI16" s="2">
        <v>1841.4561778281211</v>
      </c>
      <c r="AJ16" s="2">
        <v>10506.369938692491</v>
      </c>
      <c r="AK16" s="2">
        <v>0.32941300085874969</v>
      </c>
      <c r="AL16" s="2">
        <v>8.2493567011074534E-2</v>
      </c>
      <c r="AM16" s="2">
        <v>2.7174453460660421E-2</v>
      </c>
      <c r="AN16" s="4">
        <v>0.1588463578200347</v>
      </c>
      <c r="AO16" s="2">
        <v>0.26906863290847161</v>
      </c>
      <c r="AP16" s="2">
        <v>2881.751711651501</v>
      </c>
      <c r="AQ16" s="2">
        <v>11628.46472182602</v>
      </c>
      <c r="AR16" s="2">
        <v>0.47663198897139902</v>
      </c>
      <c r="AS16" s="2">
        <v>6.2584211529339226E-2</v>
      </c>
      <c r="AT16" s="2">
        <v>2.9829637219435719E-2</v>
      </c>
      <c r="AU16" s="4">
        <v>0.17085342057755451</v>
      </c>
      <c r="AV16" s="2">
        <v>0.2963727986871863</v>
      </c>
      <c r="AW16" s="2">
        <v>3121.9324077966749</v>
      </c>
      <c r="AX16" s="2">
        <v>12284.530971320361</v>
      </c>
      <c r="AY16" s="2">
        <v>0.4227938828293723</v>
      </c>
      <c r="AZ16" s="2">
        <v>7.5354284177608061E-2</v>
      </c>
      <c r="BA16" s="2">
        <v>3.1859330395278843E-2</v>
      </c>
      <c r="BB16" s="4">
        <v>9.4852138451375897E-2</v>
      </c>
      <c r="BC16" s="2">
        <v>9.7660385099115329E-2</v>
      </c>
      <c r="BD16" s="2">
        <v>1172.996350011555</v>
      </c>
      <c r="BE16" s="2">
        <v>15620.85827018304</v>
      </c>
      <c r="BF16" s="2">
        <v>0.62402229448972657</v>
      </c>
      <c r="BG16" s="2">
        <v>7.0863855158147221E-2</v>
      </c>
      <c r="BH16" s="2">
        <v>4.4220625492174682E-2</v>
      </c>
    </row>
    <row r="17" spans="1:60" ht="64" x14ac:dyDescent="0.2">
      <c r="A17" s="1" t="s">
        <v>75</v>
      </c>
      <c r="B17" s="4">
        <v>9.7315435168005865E-2</v>
      </c>
      <c r="C17" s="2">
        <v>13775.664166666669</v>
      </c>
      <c r="D17" s="2">
        <v>32704.777777777781</v>
      </c>
      <c r="E17" s="2">
        <v>2595.333333333333</v>
      </c>
      <c r="F17" s="2">
        <v>0.30901606921662778</v>
      </c>
      <c r="G17" s="2">
        <v>8.0424944790966138E-2</v>
      </c>
      <c r="H17" s="2">
        <v>2.5070906641993969E-2</v>
      </c>
      <c r="I17" s="2">
        <v>0.17968840939800601</v>
      </c>
      <c r="J17" s="2">
        <v>5.3503204113292533</v>
      </c>
      <c r="K17" s="2">
        <v>0.43369863767605682</v>
      </c>
      <c r="L17" s="4">
        <v>0.1206643078514525</v>
      </c>
      <c r="M17" s="2">
        <v>8.1727757428290498E-2</v>
      </c>
      <c r="N17" s="2">
        <v>1182.4422950640719</v>
      </c>
      <c r="O17" s="2">
        <v>16856.065235331938</v>
      </c>
      <c r="P17" s="2">
        <v>0.3680435274190863</v>
      </c>
      <c r="Q17" s="2">
        <v>8.1875672587314388E-2</v>
      </c>
      <c r="R17" s="2">
        <v>3.013381134884538E-2</v>
      </c>
      <c r="S17" s="4">
        <v>0.14196389966059661</v>
      </c>
      <c r="T17" s="2">
        <v>0.15982447903322641</v>
      </c>
      <c r="U17" s="2">
        <v>3234.2711942908368</v>
      </c>
      <c r="V17" s="2">
        <v>24409.87260577851</v>
      </c>
      <c r="W17" s="2">
        <v>0.35205979463409859</v>
      </c>
      <c r="X17" s="2">
        <v>0.111473023143714</v>
      </c>
      <c r="Y17" s="2">
        <v>3.9245169635218069E-2</v>
      </c>
      <c r="Z17" s="4">
        <v>0.14196389966059661</v>
      </c>
      <c r="AA17" s="2">
        <v>0.1593966658429696</v>
      </c>
      <c r="AB17" s="2">
        <v>3239.5162893914871</v>
      </c>
      <c r="AC17" s="2">
        <v>25721.305788766898</v>
      </c>
      <c r="AD17" s="2">
        <v>0.31357639337564269</v>
      </c>
      <c r="AE17" s="2">
        <v>0.13187739188978689</v>
      </c>
      <c r="AF17" s="2">
        <v>4.1353636916585612E-2</v>
      </c>
      <c r="AG17" s="4">
        <v>0.12226944628644799</v>
      </c>
      <c r="AH17" s="2">
        <v>9.9721044701552186E-2</v>
      </c>
      <c r="AI17" s="2">
        <v>1687.2150117807109</v>
      </c>
      <c r="AJ17" s="2">
        <v>15529.775368155941</v>
      </c>
      <c r="AK17" s="2">
        <v>0.34592034813596112</v>
      </c>
      <c r="AL17" s="2">
        <v>8.2105162830650641E-2</v>
      </c>
      <c r="AM17" s="2">
        <v>2.840184651013844E-2</v>
      </c>
      <c r="AN17" s="4">
        <v>0.13374502940499261</v>
      </c>
      <c r="AO17" s="2">
        <v>0.1208689502134772</v>
      </c>
      <c r="AP17" s="2">
        <v>2086.4490817046731</v>
      </c>
      <c r="AQ17" s="2">
        <v>17417.24204000373</v>
      </c>
      <c r="AR17" s="2">
        <v>0.62574539531368556</v>
      </c>
      <c r="AS17" s="2">
        <v>4.8660863773888403E-2</v>
      </c>
      <c r="AT17" s="2">
        <v>3.04493114384972E-2</v>
      </c>
      <c r="AU17" s="4">
        <v>0.14196389966059661</v>
      </c>
      <c r="AV17" s="2">
        <v>0.16026578975979369</v>
      </c>
      <c r="AW17" s="2">
        <v>3250.470926833832</v>
      </c>
      <c r="AX17" s="2">
        <v>24173.964853081688</v>
      </c>
      <c r="AY17" s="2">
        <v>-7.4840406222577789</v>
      </c>
      <c r="AZ17" s="2">
        <v>-5.1931689048811689E-3</v>
      </c>
      <c r="BA17" s="2">
        <v>3.8865887042376611E-2</v>
      </c>
      <c r="BB17" s="4">
        <v>0.1203761413084989</v>
      </c>
      <c r="BC17" s="2">
        <v>7.8661009714465727E-2</v>
      </c>
      <c r="BD17" s="2">
        <v>1146.107487412977</v>
      </c>
      <c r="BE17" s="2">
        <v>16678.42792204197</v>
      </c>
      <c r="BF17" s="2">
        <v>0.36310323848853893</v>
      </c>
      <c r="BG17" s="2">
        <v>8.4065534564321379E-2</v>
      </c>
      <c r="BH17" s="2">
        <v>3.052446784557529E-2</v>
      </c>
    </row>
    <row r="18" spans="1:60" ht="48" x14ac:dyDescent="0.2">
      <c r="A18" s="1" t="s">
        <v>76</v>
      </c>
      <c r="B18" s="4">
        <v>0.16810842490072259</v>
      </c>
      <c r="C18" s="2">
        <v>19575.939055555551</v>
      </c>
      <c r="D18" s="2">
        <v>64340.111111111109</v>
      </c>
      <c r="E18" s="2">
        <v>4028.666666666667</v>
      </c>
      <c r="F18" s="2">
        <v>0.32451452036265521</v>
      </c>
      <c r="G18" s="2">
        <v>6.122396980223594E-2</v>
      </c>
      <c r="H18" s="2">
        <v>1.976874127964548E-2</v>
      </c>
      <c r="I18" s="2">
        <v>0.13759420836902031</v>
      </c>
      <c r="J18" s="2">
        <v>4.9858108633927909</v>
      </c>
      <c r="K18" s="2">
        <v>0.30315125186198122</v>
      </c>
      <c r="L18" s="4">
        <v>0.13414872513844989</v>
      </c>
      <c r="M18" s="2">
        <v>2.9774436049290922</v>
      </c>
      <c r="N18" s="2">
        <v>6842.1130094118389</v>
      </c>
      <c r="O18" s="2">
        <v>24751.463179441431</v>
      </c>
      <c r="P18" s="2">
        <v>0.31723218517635271</v>
      </c>
      <c r="Q18" s="2">
        <v>7.1296848251969469E-2</v>
      </c>
      <c r="R18" s="2">
        <v>2.261765496715909E-2</v>
      </c>
      <c r="S18" s="4">
        <v>0.1127200129094269</v>
      </c>
      <c r="T18" s="2">
        <v>3.299013372066927</v>
      </c>
      <c r="U18" s="2">
        <v>7855.8257527643791</v>
      </c>
      <c r="V18" s="2">
        <v>24980.005419111229</v>
      </c>
      <c r="W18" s="2">
        <v>0.30887543364577807</v>
      </c>
      <c r="X18" s="2">
        <v>7.0863750830371774E-2</v>
      </c>
      <c r="Y18" s="2">
        <v>2.188807176749745E-2</v>
      </c>
      <c r="Z18" s="4">
        <v>0.113023197722177</v>
      </c>
      <c r="AA18" s="2">
        <v>3.2931379474227649</v>
      </c>
      <c r="AB18" s="2">
        <v>7865.7098243062192</v>
      </c>
      <c r="AC18" s="2">
        <v>24987.70762542935</v>
      </c>
      <c r="AD18" s="2">
        <v>0.31095600497504289</v>
      </c>
      <c r="AE18" s="2">
        <v>7.0451973580613003E-2</v>
      </c>
      <c r="AF18" s="2">
        <v>2.1907464247234689E-2</v>
      </c>
      <c r="AG18" s="4">
        <v>0.1349270880205734</v>
      </c>
      <c r="AH18" s="2">
        <v>2.852986067538104</v>
      </c>
      <c r="AI18" s="2">
        <v>7299.4679771059418</v>
      </c>
      <c r="AJ18" s="2">
        <v>22779.614121143321</v>
      </c>
      <c r="AK18" s="2">
        <v>0.29229943582247431</v>
      </c>
      <c r="AL18" s="2">
        <v>7.1513913141375521E-2</v>
      </c>
      <c r="AM18" s="2">
        <v>2.0903476464681499E-2</v>
      </c>
      <c r="AN18" s="4">
        <v>0.1107406914065102</v>
      </c>
      <c r="AO18" s="2">
        <v>4.7718630364282042</v>
      </c>
      <c r="AP18" s="2">
        <v>9081.4028203048165</v>
      </c>
      <c r="AQ18" s="2">
        <v>21503.002811664799</v>
      </c>
      <c r="AR18" s="2">
        <v>0.35200501618437863</v>
      </c>
      <c r="AS18" s="2">
        <v>5.3326660084396543E-2</v>
      </c>
      <c r="AT18" s="2">
        <v>1.8771251846066862E-2</v>
      </c>
      <c r="AU18" s="4">
        <v>0.1138782087199699</v>
      </c>
      <c r="AV18" s="2">
        <v>3.1959650625028342</v>
      </c>
      <c r="AW18" s="2">
        <v>7798.8874201783847</v>
      </c>
      <c r="AX18" s="2">
        <v>24361.258528730399</v>
      </c>
      <c r="AY18" s="2">
        <v>0.36905123520162081</v>
      </c>
      <c r="AZ18" s="2">
        <v>5.796813119893883E-2</v>
      </c>
      <c r="BA18" s="2">
        <v>2.1393210421297989E-2</v>
      </c>
      <c r="BB18" s="4">
        <v>0.1359657488301973</v>
      </c>
      <c r="BC18" s="2">
        <v>2.712402202983363</v>
      </c>
      <c r="BD18" s="2">
        <v>7099.2806939795291</v>
      </c>
      <c r="BE18" s="2">
        <v>24584.55926917342</v>
      </c>
      <c r="BF18" s="2">
        <v>0.31615419798935429</v>
      </c>
      <c r="BG18" s="2">
        <v>7.1524794531557939E-2</v>
      </c>
      <c r="BH18" s="2">
        <v>2.2612864051478061E-2</v>
      </c>
    </row>
    <row r="19" spans="1:60" ht="48" x14ac:dyDescent="0.2">
      <c r="A19" s="5" t="s">
        <v>77</v>
      </c>
      <c r="B19" s="4">
        <v>0.14174944284019311</v>
      </c>
      <c r="C19" s="2">
        <v>13826.653666666671</v>
      </c>
      <c r="D19" s="2">
        <v>28772</v>
      </c>
      <c r="E19" s="2">
        <v>2517</v>
      </c>
      <c r="F19" s="2">
        <v>0.31785968624595079</v>
      </c>
      <c r="G19" s="2">
        <v>8.8509923545880151E-2</v>
      </c>
      <c r="H19" s="2">
        <v>2.8526930216328711E-2</v>
      </c>
      <c r="I19" s="2">
        <v>0.16992583892445279</v>
      </c>
      <c r="J19" s="2">
        <v>5.4583408010610146</v>
      </c>
      <c r="K19" s="2">
        <v>0.4877204695875606</v>
      </c>
      <c r="L19" s="4">
        <v>0.21316429632830591</v>
      </c>
      <c r="M19" s="2">
        <v>4.0906634244484751E-3</v>
      </c>
      <c r="N19" s="2">
        <v>60.933584312078679</v>
      </c>
      <c r="O19" s="2">
        <v>21120.537128237109</v>
      </c>
      <c r="P19" s="2">
        <v>0.40110561736525718</v>
      </c>
      <c r="Q19" s="2">
        <v>0.11850397609409639</v>
      </c>
      <c r="R19" s="2">
        <v>4.7532610491460223E-2</v>
      </c>
      <c r="S19" s="4">
        <v>0.21316429632830591</v>
      </c>
      <c r="T19" s="2">
        <v>6.1289764066620227E-2</v>
      </c>
      <c r="U19" s="2">
        <v>1041.170957789011</v>
      </c>
      <c r="V19" s="2">
        <v>28681.342018261312</v>
      </c>
      <c r="W19" s="2">
        <v>0.40110561736525718</v>
      </c>
      <c r="X19" s="2">
        <v>0.1668557447801241</v>
      </c>
      <c r="Y19" s="2">
        <v>6.6926776520971482E-2</v>
      </c>
      <c r="Z19" s="4">
        <v>0.21316429632830591</v>
      </c>
      <c r="AA19" s="2">
        <v>6.1289764066620199E-2</v>
      </c>
      <c r="AB19" s="2">
        <v>1041.170957789014</v>
      </c>
      <c r="AC19" s="2">
        <v>26837.336135950089</v>
      </c>
      <c r="AD19" s="2">
        <v>0.38685214758818448</v>
      </c>
      <c r="AE19" s="2">
        <v>0.161880610363653</v>
      </c>
      <c r="AF19" s="2">
        <v>6.2623861772065276E-2</v>
      </c>
      <c r="AG19" s="4">
        <v>0.21316429632830591</v>
      </c>
      <c r="AH19" s="2">
        <v>7.316748130738783E-2</v>
      </c>
      <c r="AI19" s="2">
        <v>972.31401570411037</v>
      </c>
      <c r="AJ19" s="2">
        <v>21335.60862805842</v>
      </c>
      <c r="AK19" s="2">
        <v>0.40519009619217877</v>
      </c>
      <c r="AL19" s="2">
        <v>0.12287022519533761</v>
      </c>
      <c r="AM19" s="2">
        <v>4.9785798366053527E-2</v>
      </c>
      <c r="AN19" s="4">
        <v>0.21316429632830591</v>
      </c>
      <c r="AO19" s="2">
        <v>9.6487565387943855E-2</v>
      </c>
      <c r="AP19" s="2">
        <v>1524.3435135966199</v>
      </c>
      <c r="AQ19" s="2">
        <v>15593.842034856199</v>
      </c>
      <c r="AR19" s="2">
        <v>0.29614671248701202</v>
      </c>
      <c r="AS19" s="2">
        <v>0.12287022519533761</v>
      </c>
      <c r="AT19" s="2">
        <v>3.6387613254138071E-2</v>
      </c>
      <c r="AU19" s="4">
        <v>0.21316429632830591</v>
      </c>
      <c r="AV19" s="2">
        <v>6.5443885156853912E-2</v>
      </c>
      <c r="AW19" s="2">
        <v>1103.098614404279</v>
      </c>
      <c r="AX19" s="2">
        <v>28798.486924818699</v>
      </c>
      <c r="AY19" s="2">
        <v>0.54691956019060062</v>
      </c>
      <c r="AZ19" s="2">
        <v>0.12287022519533761</v>
      </c>
      <c r="BA19" s="2">
        <v>6.7200129524354127E-2</v>
      </c>
      <c r="BB19" s="4">
        <v>0.21316429632830591</v>
      </c>
      <c r="BC19" s="2">
        <v>4.334723053370636E-16</v>
      </c>
      <c r="BD19" s="2">
        <v>7.425993143694778E-12</v>
      </c>
      <c r="BE19" s="2">
        <v>21520.921197943</v>
      </c>
      <c r="BF19" s="2">
        <v>0.40870941543570888</v>
      </c>
      <c r="BG19" s="2">
        <v>0.12287022519533761</v>
      </c>
      <c r="BH19" s="2">
        <v>5.0218217914040367E-2</v>
      </c>
    </row>
    <row r="20" spans="1:60" ht="48" x14ac:dyDescent="0.2">
      <c r="A20" s="1" t="s">
        <v>78</v>
      </c>
      <c r="B20" s="4">
        <v>0.14576402645968761</v>
      </c>
      <c r="C20" s="2">
        <v>5674.4224000000004</v>
      </c>
      <c r="D20" s="2">
        <v>15016.2</v>
      </c>
      <c r="E20" s="2">
        <v>966.8</v>
      </c>
      <c r="F20" s="2">
        <v>0.35040088712972067</v>
      </c>
      <c r="G20" s="2">
        <v>6.7290089793659538E-2</v>
      </c>
      <c r="H20" s="2">
        <v>2.391855386169349E-2</v>
      </c>
      <c r="I20" s="2">
        <v>0.14639943905323491</v>
      </c>
      <c r="J20" s="2">
        <v>5.9035999442519103</v>
      </c>
      <c r="K20" s="2">
        <v>0.40299520214314999</v>
      </c>
      <c r="L20" s="4">
        <v>0.1138160567172478</v>
      </c>
      <c r="M20" s="2">
        <v>7.9346559577366499E-2</v>
      </c>
      <c r="N20" s="2">
        <v>529.66566321846926</v>
      </c>
      <c r="O20" s="2">
        <v>5909.4413982809974</v>
      </c>
      <c r="P20" s="2">
        <v>0.33129202021488519</v>
      </c>
      <c r="Q20" s="2">
        <v>7.0436358876838037E-2</v>
      </c>
      <c r="R20" s="2">
        <v>2.3335003628888341E-2</v>
      </c>
      <c r="S20" s="4">
        <v>0.12867354164277611</v>
      </c>
      <c r="T20" s="2">
        <v>0.25470910888746412</v>
      </c>
      <c r="U20" s="2">
        <v>1893.061031825858</v>
      </c>
      <c r="V20" s="2">
        <v>6614.7008106111007</v>
      </c>
      <c r="W20" s="2">
        <v>0.39338148941919648</v>
      </c>
      <c r="X20" s="2">
        <v>6.6291634992399651E-2</v>
      </c>
      <c r="Y20" s="2">
        <v>2.6077902109343899E-2</v>
      </c>
      <c r="Z20" s="4">
        <v>0.1280448703390806</v>
      </c>
      <c r="AA20" s="2">
        <v>0.25040615792882531</v>
      </c>
      <c r="AB20" s="2">
        <v>1881.870846049804</v>
      </c>
      <c r="AC20" s="2">
        <v>6472.4619300018958</v>
      </c>
      <c r="AD20" s="2">
        <v>0.4078636439061038</v>
      </c>
      <c r="AE20" s="2">
        <v>6.2564311570216607E-2</v>
      </c>
      <c r="AF20" s="2">
        <v>2.551770809550535E-2</v>
      </c>
      <c r="AG20" s="4">
        <v>0.12995108328075131</v>
      </c>
      <c r="AH20" s="2">
        <v>0.1494906710490726</v>
      </c>
      <c r="AI20" s="2">
        <v>888.22197999411242</v>
      </c>
      <c r="AJ20" s="2">
        <v>6580.478194868223</v>
      </c>
      <c r="AK20" s="2">
        <v>0.47116105798948871</v>
      </c>
      <c r="AL20" s="2">
        <v>5.5060383378527158E-2</v>
      </c>
      <c r="AM20" s="2">
        <v>2.5942308485933711E-2</v>
      </c>
      <c r="AN20" s="4">
        <v>0.1296259654810526</v>
      </c>
      <c r="AO20" s="2">
        <v>0.1298646545017775</v>
      </c>
      <c r="AP20" s="2">
        <v>757.47444659590042</v>
      </c>
      <c r="AQ20" s="2">
        <v>6422.7500737072314</v>
      </c>
      <c r="AR20" s="2">
        <v>0.4593492038791363</v>
      </c>
      <c r="AS20" s="2">
        <v>5.5122771304911243E-2</v>
      </c>
      <c r="AT20" s="2">
        <v>2.5320601114522681E-2</v>
      </c>
      <c r="AU20" s="4">
        <v>0.12803518063324931</v>
      </c>
      <c r="AV20" s="2">
        <v>0.25035749056059747</v>
      </c>
      <c r="AW20" s="2">
        <v>1881.5048125058679</v>
      </c>
      <c r="AX20" s="2">
        <v>6466.7938432719366</v>
      </c>
      <c r="AY20" s="2">
        <v>0.45900556178220842</v>
      </c>
      <c r="AZ20" s="2">
        <v>5.5544799140754227E-2</v>
      </c>
      <c r="BA20" s="2">
        <v>2.5495371733681819E-2</v>
      </c>
      <c r="BB20" s="4">
        <v>0.1039240114731179</v>
      </c>
      <c r="BC20" s="2">
        <v>8.089283383595651E-2</v>
      </c>
      <c r="BD20" s="2">
        <v>542.37686263170713</v>
      </c>
      <c r="BE20" s="2">
        <v>5945.3691484911296</v>
      </c>
      <c r="BF20" s="2">
        <v>0.2431138199446187</v>
      </c>
      <c r="BG20" s="2">
        <v>9.7168728142374691E-2</v>
      </c>
      <c r="BH20" s="2">
        <v>2.3623060677852879E-2</v>
      </c>
    </row>
    <row r="21" spans="1:60" ht="32" x14ac:dyDescent="0.2">
      <c r="A21" s="8" t="s">
        <v>86</v>
      </c>
      <c r="B21" s="9">
        <f>AVERAGE(B2:B20)</f>
        <v>0.13987013886899893</v>
      </c>
      <c r="C21" s="2">
        <f t="shared" ref="C21:BH21" si="0">AVERAGE(C2:C20)</f>
        <v>27320.4436186413</v>
      </c>
      <c r="D21" s="2">
        <f t="shared" si="0"/>
        <v>39291.08742690058</v>
      </c>
      <c r="E21" s="2">
        <f t="shared" si="0"/>
        <v>3738.2564175590492</v>
      </c>
      <c r="F21" s="2">
        <f t="shared" si="0"/>
        <v>0.3330231189309229</v>
      </c>
      <c r="G21" s="2">
        <f t="shared" si="0"/>
        <v>9.6591100664503576E-2</v>
      </c>
      <c r="H21" s="2">
        <f t="shared" si="0"/>
        <v>3.2151649210633168E-2</v>
      </c>
      <c r="I21" s="2">
        <f t="shared" si="0"/>
        <v>0.19620097039493514</v>
      </c>
      <c r="J21" s="2">
        <f t="shared" si="0"/>
        <v>6.241016044476595</v>
      </c>
      <c r="K21" s="2">
        <f t="shared" si="0"/>
        <v>0.60701857579846707</v>
      </c>
      <c r="L21" s="9">
        <f t="shared" si="0"/>
        <v>0.13650011682500321</v>
      </c>
      <c r="M21" s="2">
        <f t="shared" si="0"/>
        <v>0.26997370508241242</v>
      </c>
      <c r="N21" s="2">
        <f t="shared" si="0"/>
        <v>4241.6767488682217</v>
      </c>
      <c r="O21" s="2">
        <f t="shared" si="0"/>
        <v>34276.923944275819</v>
      </c>
      <c r="P21" s="2">
        <f t="shared" si="0"/>
        <v>0.3418259072953832</v>
      </c>
      <c r="Q21" s="2">
        <f t="shared" si="0"/>
        <v>0.11187325687108973</v>
      </c>
      <c r="R21" s="2">
        <f t="shared" si="0"/>
        <v>3.7954448192028999E-2</v>
      </c>
      <c r="S21" s="9">
        <f t="shared" si="0"/>
        <v>0.15581440305703551</v>
      </c>
      <c r="T21" s="2">
        <f t="shared" si="0"/>
        <v>0.37600560064322386</v>
      </c>
      <c r="U21" s="2">
        <f t="shared" si="0"/>
        <v>6067.1752567530775</v>
      </c>
      <c r="V21" s="2">
        <f t="shared" si="0"/>
        <v>33244.87335291646</v>
      </c>
      <c r="W21" s="2">
        <f t="shared" si="0"/>
        <v>0.35920183683445261</v>
      </c>
      <c r="X21" s="2">
        <f t="shared" si="0"/>
        <v>0.11044565044630851</v>
      </c>
      <c r="Y21" s="2">
        <f t="shared" si="0"/>
        <v>3.9385888277099969E-2</v>
      </c>
      <c r="Z21" s="9">
        <f t="shared" si="0"/>
        <v>0.15478500938551934</v>
      </c>
      <c r="AA21" s="2">
        <f t="shared" si="0"/>
        <v>0.3742530474593066</v>
      </c>
      <c r="AB21" s="2">
        <f t="shared" si="0"/>
        <v>6039.9398112934496</v>
      </c>
      <c r="AC21" s="2">
        <f t="shared" si="0"/>
        <v>33374.780187702869</v>
      </c>
      <c r="AD21" s="2">
        <f t="shared" si="0"/>
        <v>0.3701930345510917</v>
      </c>
      <c r="AE21" s="2">
        <f t="shared" si="0"/>
        <v>0.10685194106437833</v>
      </c>
      <c r="AF21" s="2">
        <f t="shared" si="0"/>
        <v>3.9136402322130955E-2</v>
      </c>
      <c r="AG21" s="9">
        <f t="shared" si="0"/>
        <v>0.163764647076239</v>
      </c>
      <c r="AH21" s="2">
        <f t="shared" si="0"/>
        <v>0.31027804115839369</v>
      </c>
      <c r="AI21" s="2">
        <f t="shared" si="0"/>
        <v>5096.4116147506538</v>
      </c>
      <c r="AJ21" s="2">
        <f t="shared" si="0"/>
        <v>30667.153524853511</v>
      </c>
      <c r="AK21" s="2">
        <f t="shared" si="0"/>
        <v>0.3740106515681712</v>
      </c>
      <c r="AL21" s="2">
        <f t="shared" si="0"/>
        <v>0.10671504518075127</v>
      </c>
      <c r="AM21" s="2">
        <f t="shared" si="0"/>
        <v>3.6645881274453812E-2</v>
      </c>
      <c r="AN21" s="9">
        <f t="shared" si="0"/>
        <v>0.11676023666878949</v>
      </c>
      <c r="AO21" s="2">
        <f t="shared" si="0"/>
        <v>0.46017733707875041</v>
      </c>
      <c r="AP21" s="2">
        <f t="shared" si="0"/>
        <v>5888.3457400373718</v>
      </c>
      <c r="AQ21" s="2">
        <f t="shared" si="0"/>
        <v>31824.524053600482</v>
      </c>
      <c r="AR21" s="2">
        <f t="shared" si="0"/>
        <v>0.48008500767408491</v>
      </c>
      <c r="AS21" s="2">
        <f t="shared" si="0"/>
        <v>7.9541433339815878E-2</v>
      </c>
      <c r="AT21" s="2">
        <f t="shared" si="0"/>
        <v>3.4319407649658913E-2</v>
      </c>
      <c r="AU21" s="9">
        <f t="shared" si="0"/>
        <v>0.15721234747391605</v>
      </c>
      <c r="AV21" s="2">
        <f t="shared" si="0"/>
        <v>0.37089897066944122</v>
      </c>
      <c r="AW21" s="2">
        <f t="shared" si="0"/>
        <v>6063.1198542282145</v>
      </c>
      <c r="AX21" s="2">
        <f t="shared" si="0"/>
        <v>33412.276116285997</v>
      </c>
      <c r="AY21" s="2">
        <f t="shared" si="0"/>
        <v>7.24278013610649E-2</v>
      </c>
      <c r="AZ21" s="2">
        <f t="shared" si="0"/>
        <v>8.5860389210534113E-2</v>
      </c>
      <c r="BA21" s="2">
        <f t="shared" si="0"/>
        <v>4.0003142513302212E-2</v>
      </c>
      <c r="BB21" s="9">
        <f t="shared" si="0"/>
        <v>0.13764846996441366</v>
      </c>
      <c r="BC21" s="2">
        <f t="shared" si="0"/>
        <v>0.24196686785364865</v>
      </c>
      <c r="BD21" s="2">
        <f t="shared" si="0"/>
        <v>3972.2955359578373</v>
      </c>
      <c r="BE21" s="2">
        <f t="shared" si="0"/>
        <v>33396.327108575904</v>
      </c>
      <c r="BF21" s="2">
        <f t="shared" si="0"/>
        <v>0.34382764426104268</v>
      </c>
      <c r="BG21" s="2">
        <f t="shared" si="0"/>
        <v>0.11688955590359709</v>
      </c>
      <c r="BH21" s="2">
        <f t="shared" si="0"/>
        <v>3.8773584083566799E-2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0"/>
  <sheetViews>
    <sheetView workbookViewId="0">
      <selection activeCell="A7" sqref="A7:XFD7"/>
    </sheetView>
  </sheetViews>
  <sheetFormatPr baseColWidth="10" defaultColWidth="15.33203125" defaultRowHeight="15" x14ac:dyDescent="0.2"/>
  <cols>
    <col min="1" max="1" width="21.33203125" style="2" customWidth="1"/>
    <col min="2" max="16384" width="15.33203125" style="2"/>
  </cols>
  <sheetData>
    <row r="1" spans="1:46" ht="68" customHeight="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6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6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6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6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</row>
    <row r="2" spans="1:46" ht="32" x14ac:dyDescent="0.2">
      <c r="A2" s="1" t="s">
        <v>60</v>
      </c>
      <c r="B2" s="7">
        <v>0.13615825193234479</v>
      </c>
      <c r="C2" s="2">
        <v>10380.833857142859</v>
      </c>
      <c r="D2" s="2">
        <v>21019.142857142859</v>
      </c>
      <c r="E2" s="2">
        <v>1616.285714285714</v>
      </c>
      <c r="F2" s="2">
        <v>0.35072020893246442</v>
      </c>
      <c r="G2" s="2">
        <v>7.7313693815823314E-2</v>
      </c>
      <c r="H2" s="2">
        <v>2.682151637582008E-2</v>
      </c>
      <c r="I2" s="2">
        <v>0.17131348481183431</v>
      </c>
      <c r="J2" s="2">
        <v>6.5703553716442817</v>
      </c>
      <c r="K2" s="2">
        <v>0.50260591164067836</v>
      </c>
      <c r="L2" s="7">
        <v>0.1141645246084164</v>
      </c>
      <c r="M2" s="2">
        <v>0.18145511955715529</v>
      </c>
      <c r="N2" s="2">
        <v>2163.3816311074038</v>
      </c>
      <c r="O2" s="2">
        <v>13141.6742792151</v>
      </c>
      <c r="P2" s="2">
        <v>0.61617080799285484</v>
      </c>
      <c r="Q2" s="2">
        <v>5.1209947630026453E-2</v>
      </c>
      <c r="R2" s="2">
        <v>3.1554074808465178E-2</v>
      </c>
      <c r="S2" s="7"/>
      <c r="Z2" s="7"/>
      <c r="AG2" s="7"/>
      <c r="AN2" s="7"/>
    </row>
    <row r="3" spans="1:46" ht="32" x14ac:dyDescent="0.2">
      <c r="A3" s="1" t="s">
        <v>61</v>
      </c>
      <c r="B3" s="7">
        <v>7.56243985707475E-2</v>
      </c>
      <c r="C3" s="2">
        <v>59316.431199999992</v>
      </c>
      <c r="D3" s="2">
        <v>76843.600000000006</v>
      </c>
      <c r="E3" s="2">
        <v>10950</v>
      </c>
      <c r="F3" s="2">
        <v>0.2104868547730788</v>
      </c>
      <c r="G3" s="2">
        <v>0.13842502822135519</v>
      </c>
      <c r="H3" s="2">
        <v>2.910061389991065E-2</v>
      </c>
      <c r="I3" s="2">
        <v>0.20398755126869519</v>
      </c>
      <c r="J3" s="2">
        <v>5.4466908425990281</v>
      </c>
      <c r="K3" s="2">
        <v>0.75284870845750196</v>
      </c>
      <c r="L3" s="7">
        <v>9.2597249816296232E-2</v>
      </c>
      <c r="M3" s="2">
        <v>0.34441461855917022</v>
      </c>
      <c r="N3" s="2">
        <v>20878.64969896651</v>
      </c>
      <c r="O3" s="2">
        <v>62432.752260437337</v>
      </c>
      <c r="P3" s="2">
        <v>0.2295400432609728</v>
      </c>
      <c r="Q3" s="2">
        <v>0.14249722813611021</v>
      </c>
      <c r="R3" s="2">
        <v>3.2708819910931448E-2</v>
      </c>
      <c r="S3" s="7"/>
      <c r="Z3" s="7"/>
      <c r="AG3" s="7"/>
      <c r="AN3" s="7"/>
    </row>
    <row r="4" spans="1:46" ht="32" x14ac:dyDescent="0.2">
      <c r="A4" s="1" t="s">
        <v>62</v>
      </c>
      <c r="B4" s="7">
        <v>0.16902207085602011</v>
      </c>
      <c r="C4" s="2">
        <v>28050.866111111111</v>
      </c>
      <c r="D4" s="2">
        <v>56788.888888888891</v>
      </c>
      <c r="E4" s="2">
        <v>5848</v>
      </c>
      <c r="F4" s="2">
        <v>0.29231349928531231</v>
      </c>
      <c r="G4" s="2">
        <v>0.1017844954415119</v>
      </c>
      <c r="H4" s="2">
        <v>2.9651427146341221E-2</v>
      </c>
      <c r="I4" s="2">
        <v>0.25963672791398368</v>
      </c>
      <c r="J4" s="2">
        <v>5.1665392499838667</v>
      </c>
      <c r="K4" s="2">
        <v>0.53023810543887295</v>
      </c>
      <c r="L4" s="7"/>
      <c r="S4" s="7">
        <v>0.14331266356501041</v>
      </c>
      <c r="T4" s="2">
        <v>0.43113013724427951</v>
      </c>
      <c r="U4" s="2">
        <v>12253.591101373169</v>
      </c>
      <c r="V4" s="2">
        <v>40360.432770749059</v>
      </c>
      <c r="W4" s="2">
        <v>0.27767373768494891</v>
      </c>
      <c r="X4" s="2">
        <v>0.1249033998608072</v>
      </c>
      <c r="Y4" s="2">
        <v>3.4682393888908057E-2</v>
      </c>
      <c r="Z4" s="7"/>
      <c r="AG4" s="7"/>
      <c r="AN4" s="7"/>
    </row>
    <row r="5" spans="1:46" ht="32" x14ac:dyDescent="0.2">
      <c r="A5" s="1" t="s">
        <v>63</v>
      </c>
      <c r="B5" s="7">
        <v>0.14385917602979451</v>
      </c>
      <c r="C5" s="2">
        <v>6774.8926999999994</v>
      </c>
      <c r="D5" s="2">
        <v>11663.2</v>
      </c>
      <c r="E5" s="2">
        <v>1548</v>
      </c>
      <c r="F5" s="2">
        <v>0.33010003732131038</v>
      </c>
      <c r="G5" s="2">
        <v>0.13303769121345799</v>
      </c>
      <c r="H5" s="2">
        <v>4.38015103302659E-2</v>
      </c>
      <c r="I5" s="2">
        <v>0.20606636976751619</v>
      </c>
      <c r="J5" s="2">
        <v>4.4296652695189236</v>
      </c>
      <c r="K5" s="2">
        <v>0.58409222167013863</v>
      </c>
      <c r="L5" s="7">
        <v>4.3614372539175383E-2</v>
      </c>
      <c r="M5" s="2">
        <v>0.1165048522481643</v>
      </c>
      <c r="N5" s="2">
        <v>1065.3327627895969</v>
      </c>
      <c r="O5" s="2">
        <v>7912.9974397794804</v>
      </c>
      <c r="P5" s="2">
        <v>0.61058267045989689</v>
      </c>
      <c r="Q5" s="2">
        <v>7.7951906878469993E-2</v>
      </c>
      <c r="R5" s="2">
        <v>4.7596083469297411E-2</v>
      </c>
      <c r="S5" s="7"/>
      <c r="Z5" s="7"/>
      <c r="AG5" s="7"/>
      <c r="AN5" s="7"/>
    </row>
    <row r="6" spans="1:46" ht="32" x14ac:dyDescent="0.2">
      <c r="A6" s="1" t="s">
        <v>64</v>
      </c>
      <c r="B6" s="7">
        <v>8.571564136080094E-2</v>
      </c>
      <c r="C6" s="2">
        <v>216962.44085714291</v>
      </c>
      <c r="D6" s="2">
        <v>206411.8571428571</v>
      </c>
      <c r="E6" s="2">
        <v>17732.28571428571</v>
      </c>
      <c r="F6" s="2">
        <v>0.36625757261048442</v>
      </c>
      <c r="G6" s="2">
        <v>8.7014974588608671E-2</v>
      </c>
      <c r="H6" s="2">
        <v>3.1940695714153831E-2</v>
      </c>
      <c r="I6" s="2">
        <v>0.1763913940005829</v>
      </c>
      <c r="J6" s="2">
        <v>12.240885852441419</v>
      </c>
      <c r="K6" s="2">
        <v>1.067205612929921</v>
      </c>
      <c r="L6" s="7"/>
      <c r="S6" s="7">
        <v>5.5508994749874169E-2</v>
      </c>
      <c r="T6" s="2">
        <v>7.1393887730329342E-2</v>
      </c>
      <c r="U6" s="2">
        <v>17764.353637525041</v>
      </c>
      <c r="V6" s="2">
        <v>271677.23538145208</v>
      </c>
      <c r="W6" s="2">
        <v>0.42311149158850048</v>
      </c>
      <c r="X6" s="2">
        <v>8.9753553278218337E-2</v>
      </c>
      <c r="Y6" s="2">
        <v>3.7975759802914913E-2</v>
      </c>
      <c r="Z6" s="7"/>
      <c r="AG6" s="7"/>
      <c r="AN6" s="7"/>
    </row>
    <row r="7" spans="1:46" ht="32" x14ac:dyDescent="0.2">
      <c r="A7" s="1" t="s">
        <v>65</v>
      </c>
      <c r="B7" s="7">
        <v>0.1736981448609389</v>
      </c>
      <c r="C7" s="2">
        <v>18372.083666666669</v>
      </c>
      <c r="D7" s="2">
        <v>22313.066666666669</v>
      </c>
      <c r="E7" s="2">
        <v>2631.2</v>
      </c>
      <c r="F7" s="2">
        <v>0.31146270715655672</v>
      </c>
      <c r="G7" s="2">
        <v>0.1200798408400629</v>
      </c>
      <c r="H7" s="2">
        <v>3.8681261560718973E-2</v>
      </c>
      <c r="I7" s="2">
        <v>0.26483526320296619</v>
      </c>
      <c r="J7" s="2">
        <v>6.9116061177237453</v>
      </c>
      <c r="K7" s="2">
        <v>0.84545322140653334</v>
      </c>
      <c r="L7" s="7">
        <v>2.1012112552807528E-2</v>
      </c>
      <c r="M7" s="2">
        <v>0.2501620061763527</v>
      </c>
      <c r="N7" s="2">
        <v>4765.347987221111</v>
      </c>
      <c r="O7" s="2">
        <v>24934.543665727389</v>
      </c>
      <c r="P7" s="2">
        <v>0.3869059389849055</v>
      </c>
      <c r="Q7" s="2">
        <v>0.1073965634518278</v>
      </c>
      <c r="R7" s="2">
        <v>4.1552368226081431E-2</v>
      </c>
      <c r="S7" s="7"/>
      <c r="Z7" s="7"/>
      <c r="AG7" s="7"/>
      <c r="AN7" s="7"/>
    </row>
    <row r="8" spans="1:46" ht="32" x14ac:dyDescent="0.2">
      <c r="A8" s="1" t="s">
        <v>66</v>
      </c>
      <c r="B8" s="7">
        <v>5.8151131309084128E-2</v>
      </c>
      <c r="C8" s="2">
        <v>24372.599312499999</v>
      </c>
      <c r="D8" s="2">
        <v>27907.625</v>
      </c>
      <c r="E8" s="2">
        <v>3136.125</v>
      </c>
      <c r="F8" s="2">
        <v>0.40383957037039497</v>
      </c>
      <c r="G8" s="2">
        <v>0.12256485289441719</v>
      </c>
      <c r="H8" s="2">
        <v>4.9154416322435127E-2</v>
      </c>
      <c r="I8" s="2">
        <v>0.23272072741220209</v>
      </c>
      <c r="J8" s="2">
        <v>9.0779943232806257</v>
      </c>
      <c r="K8" s="2">
        <v>1.10473191389917</v>
      </c>
      <c r="L8" s="7">
        <v>2.5182331336295129E-2</v>
      </c>
      <c r="M8" s="2">
        <v>0.38209615415377868</v>
      </c>
      <c r="N8" s="2">
        <v>8992.9597164635907</v>
      </c>
      <c r="O8" s="2">
        <v>32136.92349507755</v>
      </c>
      <c r="P8" s="2">
        <v>0.53905792776422601</v>
      </c>
      <c r="Q8" s="2">
        <v>9.2557418387942444E-2</v>
      </c>
      <c r="R8" s="2">
        <v>4.9893810155410723E-2</v>
      </c>
      <c r="S8" s="7"/>
      <c r="Z8" s="7"/>
      <c r="AG8" s="7"/>
      <c r="AN8" s="7"/>
    </row>
    <row r="9" spans="1:46" ht="32" x14ac:dyDescent="0.2">
      <c r="A9" s="1" t="s">
        <v>67</v>
      </c>
      <c r="B9" s="7">
        <v>0.1125757425009252</v>
      </c>
      <c r="C9" s="2">
        <v>6802.1706666666678</v>
      </c>
      <c r="D9" s="2">
        <v>19509.5</v>
      </c>
      <c r="E9" s="2">
        <v>1676.833333333333</v>
      </c>
      <c r="F9" s="2">
        <v>0.26786294184629811</v>
      </c>
      <c r="G9" s="2">
        <v>8.5191846446489625E-2</v>
      </c>
      <c r="H9" s="2">
        <v>2.3136360260451069E-2</v>
      </c>
      <c r="I9" s="2">
        <v>0.20795091315790609</v>
      </c>
      <c r="J9" s="2">
        <v>4.0878220754934933</v>
      </c>
      <c r="K9" s="2">
        <v>0.3481692221052915</v>
      </c>
      <c r="L9" s="7">
        <v>7.8239376381370324E-2</v>
      </c>
      <c r="M9" s="2">
        <v>0.23038320006323429</v>
      </c>
      <c r="N9" s="2">
        <v>1662.994385799235</v>
      </c>
      <c r="O9" s="2">
        <v>7651.7296607182634</v>
      </c>
      <c r="P9" s="2">
        <v>0.8844038945292515</v>
      </c>
      <c r="Q9" s="2">
        <v>2.000956939020241E-2</v>
      </c>
      <c r="R9" s="2">
        <v>1.7696541096548311E-2</v>
      </c>
      <c r="S9" s="7"/>
      <c r="Z9" s="7"/>
      <c r="AG9" s="7"/>
      <c r="AN9" s="7"/>
    </row>
    <row r="10" spans="1:46" ht="32" x14ac:dyDescent="0.2">
      <c r="A10" s="1" t="s">
        <v>68</v>
      </c>
      <c r="B10" s="7">
        <v>0.20346730379533409</v>
      </c>
      <c r="C10" s="2">
        <v>12753.052</v>
      </c>
      <c r="D10" s="2">
        <v>14343.4</v>
      </c>
      <c r="E10" s="2">
        <v>1508</v>
      </c>
      <c r="F10" s="2">
        <v>0.49851840861980778</v>
      </c>
      <c r="G10" s="2">
        <v>0.1069073338172107</v>
      </c>
      <c r="H10" s="2">
        <v>5.3591274065667348E-2</v>
      </c>
      <c r="I10" s="2">
        <v>0.19951422758964649</v>
      </c>
      <c r="J10" s="2">
        <v>8.4143470757267416</v>
      </c>
      <c r="K10" s="2">
        <v>0.89882573952560796</v>
      </c>
      <c r="L10" s="7"/>
      <c r="S10" s="7">
        <v>0.1092368586087218</v>
      </c>
      <c r="T10" s="2">
        <v>3.0540790824211409E-2</v>
      </c>
      <c r="U10" s="2">
        <v>418.84719845270411</v>
      </c>
      <c r="V10" s="2">
        <v>17862.659496026768</v>
      </c>
      <c r="W10" s="2">
        <v>0.49460935119783223</v>
      </c>
      <c r="X10" s="2">
        <v>0.1229543272091108</v>
      </c>
      <c r="Y10" s="2">
        <v>6.081436000786427E-2</v>
      </c>
      <c r="Z10" s="7"/>
      <c r="AG10" s="7"/>
      <c r="AN10" s="7"/>
    </row>
    <row r="11" spans="1:46" ht="32" x14ac:dyDescent="0.2">
      <c r="A11" s="1" t="s">
        <v>69</v>
      </c>
      <c r="B11" s="7">
        <v>0.18284115984176691</v>
      </c>
      <c r="C11" s="2">
        <v>15550.179937499999</v>
      </c>
      <c r="D11" s="2">
        <v>22303.125</v>
      </c>
      <c r="E11" s="2">
        <v>2753.125</v>
      </c>
      <c r="F11" s="2">
        <v>0.32750983659015331</v>
      </c>
      <c r="G11" s="2">
        <v>0.1205724481462596</v>
      </c>
      <c r="H11" s="2">
        <v>3.9795318080491603E-2</v>
      </c>
      <c r="I11" s="2">
        <v>0.25598781838516338</v>
      </c>
      <c r="J11" s="2">
        <v>5.8066805349099226</v>
      </c>
      <c r="K11" s="2">
        <v>0.68560916628595459</v>
      </c>
      <c r="L11" s="7"/>
      <c r="S11" s="7"/>
      <c r="Z11" s="7">
        <v>0.1675233602889763</v>
      </c>
      <c r="AA11" s="2">
        <v>0.32488703739596392</v>
      </c>
      <c r="AB11" s="2">
        <v>4446.3705917685556</v>
      </c>
      <c r="AC11" s="2">
        <v>15965.935008954</v>
      </c>
      <c r="AD11" s="2">
        <v>0.41188973144954483</v>
      </c>
      <c r="AE11" s="2">
        <v>8.9549110467776902E-2</v>
      </c>
      <c r="AF11" s="2">
        <v>3.6884359062118247E-2</v>
      </c>
      <c r="AG11" s="7"/>
      <c r="AN11" s="7"/>
    </row>
    <row r="12" spans="1:46" ht="32" x14ac:dyDescent="0.2">
      <c r="A12" s="1" t="s">
        <v>70</v>
      </c>
      <c r="B12" s="7">
        <v>0.18744826330919989</v>
      </c>
      <c r="C12" s="2">
        <v>8906.3014999999996</v>
      </c>
      <c r="D12" s="2">
        <v>27466.5</v>
      </c>
      <c r="E12" s="2">
        <v>2186.833333333333</v>
      </c>
      <c r="F12" s="2">
        <v>0.3132746711244157</v>
      </c>
      <c r="G12" s="2">
        <v>8.0433700431638569E-2</v>
      </c>
      <c r="H12" s="2">
        <v>2.5692379137955041E-2</v>
      </c>
      <c r="I12" s="2">
        <v>0.20292970796065529</v>
      </c>
      <c r="J12" s="2">
        <v>4.1707844400185126</v>
      </c>
      <c r="K12" s="2">
        <v>0.32976152867971392</v>
      </c>
      <c r="L12" s="7">
        <v>8.7670900407206029E-2</v>
      </c>
      <c r="M12" s="2">
        <v>0.1231539016886237</v>
      </c>
      <c r="N12" s="2">
        <v>1407.1042508885421</v>
      </c>
      <c r="O12" s="2">
        <v>9627.9983023908462</v>
      </c>
      <c r="P12" s="2">
        <v>0.33573884010550209</v>
      </c>
      <c r="Q12" s="2">
        <v>6.596083894601884E-2</v>
      </c>
      <c r="R12" s="2">
        <v>2.2145615560122199E-2</v>
      </c>
      <c r="S12" s="7"/>
      <c r="Z12" s="7"/>
      <c r="AG12" s="7"/>
      <c r="AN12" s="7"/>
    </row>
    <row r="13" spans="1:46" ht="32" x14ac:dyDescent="0.2">
      <c r="A13" s="1" t="s">
        <v>71</v>
      </c>
      <c r="B13" s="7">
        <v>0.20402743380812111</v>
      </c>
      <c r="C13" s="2">
        <v>9891.285045454546</v>
      </c>
      <c r="D13" s="2">
        <v>23522</v>
      </c>
      <c r="E13" s="2">
        <v>1565.272727272727</v>
      </c>
      <c r="F13" s="2">
        <v>0.34223700026193787</v>
      </c>
      <c r="G13" s="2">
        <v>7.1115535483176756E-2</v>
      </c>
      <c r="H13" s="2">
        <v>2.4853789949987552E-2</v>
      </c>
      <c r="I13" s="2">
        <v>0.17151440597900619</v>
      </c>
      <c r="J13" s="2">
        <v>6.3534618107072109</v>
      </c>
      <c r="K13" s="2">
        <v>0.4607015516600716</v>
      </c>
      <c r="L13" s="7">
        <v>0.15780759703530631</v>
      </c>
      <c r="M13" s="2">
        <v>0.17500812623261219</v>
      </c>
      <c r="N13" s="2">
        <v>1924.3182676963561</v>
      </c>
      <c r="O13" s="2">
        <v>10708.497720017809</v>
      </c>
      <c r="P13" s="2">
        <v>0.38934448292408602</v>
      </c>
      <c r="Q13" s="2">
        <v>5.8876887369429289E-2</v>
      </c>
      <c r="R13" s="2">
        <v>2.2923391269030091E-2</v>
      </c>
      <c r="S13" s="7"/>
      <c r="Z13" s="7"/>
      <c r="AG13" s="7"/>
      <c r="AN13" s="7"/>
    </row>
    <row r="14" spans="1:46" ht="32" x14ac:dyDescent="0.2">
      <c r="A14" s="1" t="s">
        <v>72</v>
      </c>
      <c r="B14" s="7">
        <v>0.12440166068432371</v>
      </c>
      <c r="C14" s="2">
        <v>29797.584944444439</v>
      </c>
      <c r="D14" s="2">
        <v>36960.666666666657</v>
      </c>
      <c r="E14" s="2">
        <v>4504.4444444444443</v>
      </c>
      <c r="F14" s="2">
        <v>0.30493617235968717</v>
      </c>
      <c r="G14" s="2">
        <v>0.1233304316923495</v>
      </c>
      <c r="H14" s="2">
        <v>3.7354012884823928E-2</v>
      </c>
      <c r="I14" s="2">
        <v>0.20435417369397671</v>
      </c>
      <c r="J14" s="2">
        <v>6.6168133154543689</v>
      </c>
      <c r="K14" s="2">
        <v>0.81419062916549834</v>
      </c>
      <c r="L14" s="7"/>
      <c r="S14" s="7"/>
      <c r="Z14" s="7"/>
      <c r="AG14" s="7">
        <v>0.1455389168169838</v>
      </c>
      <c r="AH14" s="2">
        <v>8.1686431230292164E-2</v>
      </c>
      <c r="AI14" s="2">
        <v>2643.0487178532071</v>
      </c>
      <c r="AJ14" s="2">
        <v>34775.203053004552</v>
      </c>
      <c r="AK14" s="2">
        <v>0.32185952729482631</v>
      </c>
      <c r="AL14" s="2">
        <v>0.1301007464439887</v>
      </c>
      <c r="AM14" s="2">
        <v>4.187416475116626E-2</v>
      </c>
      <c r="AN14" s="7"/>
    </row>
    <row r="15" spans="1:46" ht="32" x14ac:dyDescent="0.2">
      <c r="A15" s="1" t="s">
        <v>73</v>
      </c>
      <c r="B15" s="7">
        <v>0.1023919166332667</v>
      </c>
      <c r="C15" s="2">
        <v>8186.9226666666682</v>
      </c>
      <c r="D15" s="2">
        <v>15604.33333333333</v>
      </c>
      <c r="E15" s="2">
        <v>1336.666666666667</v>
      </c>
      <c r="F15" s="2">
        <v>0.39011476466795608</v>
      </c>
      <c r="G15" s="2">
        <v>8.5662612632745661E-2</v>
      </c>
      <c r="H15" s="2">
        <v>3.316953381561373E-2</v>
      </c>
      <c r="I15" s="2">
        <v>0.1789069993858434</v>
      </c>
      <c r="J15" s="2">
        <v>6.1776185248226936</v>
      </c>
      <c r="K15" s="2">
        <v>0.52525285799602539</v>
      </c>
      <c r="L15" s="7">
        <v>4.0875661636106772E-2</v>
      </c>
      <c r="M15" s="2">
        <v>0.1253499534350595</v>
      </c>
      <c r="N15" s="2">
        <v>1088.8772464140529</v>
      </c>
      <c r="O15" s="2">
        <v>9327.2615194659757</v>
      </c>
      <c r="P15" s="2">
        <v>0.70757816450361932</v>
      </c>
      <c r="Q15" s="2">
        <v>5.3684128192416809E-2</v>
      </c>
      <c r="R15" s="2">
        <v>3.7985716889367291E-2</v>
      </c>
      <c r="S15" s="7"/>
      <c r="Z15" s="7"/>
      <c r="AG15" s="7"/>
      <c r="AN15" s="7"/>
    </row>
    <row r="16" spans="1:46" ht="32" x14ac:dyDescent="0.2">
      <c r="A16" s="1" t="s">
        <v>74</v>
      </c>
      <c r="B16" s="7">
        <v>0.14521301364970221</v>
      </c>
      <c r="C16" s="2">
        <v>10118.105</v>
      </c>
      <c r="D16" s="2">
        <v>23040.666666666672</v>
      </c>
      <c r="E16" s="2">
        <v>1926</v>
      </c>
      <c r="F16" s="2">
        <v>0.31601385081272321</v>
      </c>
      <c r="G16" s="2">
        <v>8.4347499027718542E-2</v>
      </c>
      <c r="H16" s="2">
        <v>2.6852093457732609E-2</v>
      </c>
      <c r="I16" s="2">
        <v>0.15810077722907559</v>
      </c>
      <c r="J16" s="2">
        <v>5.4099680206955147</v>
      </c>
      <c r="K16" s="2">
        <v>0.45610098804114602</v>
      </c>
      <c r="L16" s="7"/>
      <c r="S16" s="7"/>
      <c r="Z16" s="7"/>
      <c r="AG16" s="7"/>
      <c r="AN16" s="7">
        <v>9.4852138451375897E-2</v>
      </c>
      <c r="AO16" s="2">
        <v>9.7660385099115329E-2</v>
      </c>
      <c r="AP16" s="2">
        <v>1172.996350011555</v>
      </c>
      <c r="AQ16" s="2">
        <v>15620.85827018304</v>
      </c>
      <c r="AR16" s="2">
        <v>0.62402229448972657</v>
      </c>
      <c r="AS16" s="2">
        <v>7.0863855158147221E-2</v>
      </c>
      <c r="AT16" s="2">
        <v>4.4220625492174682E-2</v>
      </c>
    </row>
    <row r="17" spans="1:46" ht="32" x14ac:dyDescent="0.2">
      <c r="A17" s="1" t="s">
        <v>75</v>
      </c>
      <c r="B17" s="7">
        <v>9.7315435168005865E-2</v>
      </c>
      <c r="C17" s="2">
        <v>13775.664166666669</v>
      </c>
      <c r="D17" s="2">
        <v>32704.777777777781</v>
      </c>
      <c r="E17" s="2">
        <v>2595.333333333333</v>
      </c>
      <c r="F17" s="2">
        <v>0.30901606921662778</v>
      </c>
      <c r="G17" s="2">
        <v>8.0424944790966138E-2</v>
      </c>
      <c r="H17" s="2">
        <v>2.5070906641993969E-2</v>
      </c>
      <c r="I17" s="2">
        <v>0.17968840939800601</v>
      </c>
      <c r="J17" s="2">
        <v>5.3503204113292533</v>
      </c>
      <c r="K17" s="2">
        <v>0.43369863767605682</v>
      </c>
      <c r="L17" s="7"/>
      <c r="S17" s="7"/>
      <c r="Z17" s="7"/>
      <c r="AG17" s="7"/>
      <c r="AN17" s="7">
        <v>0.1203761413084989</v>
      </c>
      <c r="AO17" s="2">
        <v>7.8661009714465727E-2</v>
      </c>
      <c r="AP17" s="2">
        <v>1146.107487412977</v>
      </c>
      <c r="AQ17" s="2">
        <v>16678.42792204197</v>
      </c>
      <c r="AR17" s="2">
        <v>0.36310323848853893</v>
      </c>
      <c r="AS17" s="2">
        <v>8.4065534564321379E-2</v>
      </c>
      <c r="AT17" s="2">
        <v>3.052446784557529E-2</v>
      </c>
    </row>
    <row r="18" spans="1:46" ht="32" x14ac:dyDescent="0.2">
      <c r="A18" s="1" t="s">
        <v>76</v>
      </c>
      <c r="B18" s="7">
        <v>0.16810842490072259</v>
      </c>
      <c r="C18" s="2">
        <v>19575.939055555551</v>
      </c>
      <c r="D18" s="2">
        <v>64340.111111111109</v>
      </c>
      <c r="E18" s="2">
        <v>4028.666666666667</v>
      </c>
      <c r="F18" s="2">
        <v>0.32451452036265521</v>
      </c>
      <c r="G18" s="2">
        <v>6.122396980223594E-2</v>
      </c>
      <c r="H18" s="2">
        <v>1.976874127964548E-2</v>
      </c>
      <c r="I18" s="2">
        <v>0.13759420836902031</v>
      </c>
      <c r="J18" s="2">
        <v>4.9858108633927909</v>
      </c>
      <c r="K18" s="2">
        <v>0.30315125186198122</v>
      </c>
      <c r="L18" s="7">
        <v>0.1107406914065102</v>
      </c>
      <c r="M18" s="2">
        <v>4.7718630364282042</v>
      </c>
      <c r="N18" s="2">
        <v>9081.4028203048165</v>
      </c>
      <c r="O18" s="2">
        <v>21503.002811664799</v>
      </c>
      <c r="P18" s="2">
        <v>0.35200501618437863</v>
      </c>
      <c r="Q18" s="2">
        <v>5.3326660084396543E-2</v>
      </c>
      <c r="R18" s="2">
        <v>1.8771251846066862E-2</v>
      </c>
      <c r="S18" s="7"/>
      <c r="Z18" s="7"/>
      <c r="AG18" s="7"/>
      <c r="AN18" s="7"/>
    </row>
    <row r="19" spans="1:46" ht="32" x14ac:dyDescent="0.2">
      <c r="A19" s="1" t="s">
        <v>77</v>
      </c>
      <c r="B19" s="7">
        <v>0.14174944284019311</v>
      </c>
      <c r="C19" s="2">
        <v>13826.653666666671</v>
      </c>
      <c r="D19" s="2">
        <v>28772</v>
      </c>
      <c r="E19" s="2">
        <v>2517</v>
      </c>
      <c r="F19" s="2">
        <v>0.31785968624595079</v>
      </c>
      <c r="G19" s="2">
        <v>8.8509923545880151E-2</v>
      </c>
      <c r="H19" s="2">
        <v>2.8526930216328711E-2</v>
      </c>
      <c r="I19" s="2">
        <v>0.16992583892445279</v>
      </c>
      <c r="J19" s="2">
        <v>5.4583408010610146</v>
      </c>
      <c r="K19" s="2">
        <v>0.4877204695875606</v>
      </c>
      <c r="L19" s="7"/>
      <c r="S19" s="7">
        <v>0.21316429632830591</v>
      </c>
      <c r="T19" s="2">
        <v>4.0906634244484751E-3</v>
      </c>
      <c r="U19" s="2">
        <v>60.933584312078679</v>
      </c>
      <c r="V19" s="2">
        <v>21120.537128237109</v>
      </c>
      <c r="W19" s="2">
        <v>0.40110561736525718</v>
      </c>
      <c r="X19" s="2">
        <v>0.11850397609409639</v>
      </c>
      <c r="Y19" s="2">
        <v>4.7532610491460223E-2</v>
      </c>
      <c r="Z19" s="7"/>
      <c r="AG19" s="7"/>
      <c r="AN19" s="7"/>
    </row>
    <row r="20" spans="1:46" ht="32" x14ac:dyDescent="0.2">
      <c r="A20" s="1" t="s">
        <v>78</v>
      </c>
      <c r="B20" s="7">
        <v>0.14576402645968761</v>
      </c>
      <c r="C20" s="2">
        <v>5674.4224000000004</v>
      </c>
      <c r="D20" s="2">
        <v>15016.2</v>
      </c>
      <c r="E20" s="2">
        <v>966.8</v>
      </c>
      <c r="F20" s="2">
        <v>0.35040088712972067</v>
      </c>
      <c r="G20" s="2">
        <v>6.7290089793659538E-2</v>
      </c>
      <c r="H20" s="2">
        <v>2.391855386169349E-2</v>
      </c>
      <c r="I20" s="2">
        <v>0.14639943905323491</v>
      </c>
      <c r="J20" s="2">
        <v>5.9035999442519103</v>
      </c>
      <c r="K20" s="2">
        <v>0.40299520214314999</v>
      </c>
      <c r="L20" s="7"/>
      <c r="S20" s="7"/>
      <c r="Z20" s="7"/>
      <c r="AG20" s="7"/>
      <c r="AN20" s="7">
        <v>0.1039240114731179</v>
      </c>
      <c r="AO20" s="2">
        <v>8.089283383595651E-2</v>
      </c>
      <c r="AP20" s="2">
        <v>542.37686263170713</v>
      </c>
      <c r="AQ20" s="2">
        <v>5945.3691484911296</v>
      </c>
      <c r="AR20" s="2">
        <v>0.2431138199446187</v>
      </c>
      <c r="AS20" s="2">
        <v>9.7168728142374691E-2</v>
      </c>
      <c r="AT20" s="2">
        <v>2.3623060677852879E-2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"/>
  <sheetViews>
    <sheetView workbookViewId="0">
      <selection activeCell="AA10" sqref="AA10"/>
    </sheetView>
  </sheetViews>
  <sheetFormatPr baseColWidth="10" defaultColWidth="16.6640625" defaultRowHeight="15" x14ac:dyDescent="0.2"/>
  <cols>
    <col min="1" max="1" width="20.6640625" style="2" customWidth="1"/>
    <col min="2" max="16384" width="16.6640625" style="2"/>
  </cols>
  <sheetData>
    <row r="1" spans="1:32" ht="64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6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6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ht="32" x14ac:dyDescent="0.2">
      <c r="A2" s="1" t="s">
        <v>60</v>
      </c>
      <c r="B2" s="7">
        <v>0.13615825193234479</v>
      </c>
      <c r="C2" s="2">
        <v>10380.833857142859</v>
      </c>
      <c r="D2" s="2">
        <v>21019.142857142859</v>
      </c>
      <c r="E2" s="2">
        <v>1616.285714285714</v>
      </c>
      <c r="F2" s="2">
        <v>0.35072020893246442</v>
      </c>
      <c r="G2" s="2">
        <v>7.7313693815823314E-2</v>
      </c>
      <c r="H2" s="2">
        <v>2.682151637582008E-2</v>
      </c>
      <c r="I2" s="2">
        <v>0.17131348481183431</v>
      </c>
      <c r="J2" s="2">
        <v>6.5703553716442817</v>
      </c>
      <c r="K2" s="2">
        <v>0.50260591164067836</v>
      </c>
      <c r="L2" s="7">
        <v>0.17053252857301901</v>
      </c>
      <c r="M2" s="2">
        <v>5.9163874169755548E-2</v>
      </c>
      <c r="N2" s="2">
        <v>693.2332848441747</v>
      </c>
      <c r="O2" s="2">
        <v>10714.90757408139</v>
      </c>
      <c r="P2" s="2">
        <v>0.28586832226835718</v>
      </c>
      <c r="Q2" s="2">
        <v>0.101165250263393</v>
      </c>
      <c r="R2" s="2">
        <v>2.8919940364654641E-2</v>
      </c>
      <c r="S2" s="7"/>
      <c r="Z2" s="7"/>
    </row>
    <row r="3" spans="1:32" ht="32" x14ac:dyDescent="0.2">
      <c r="A3" s="1" t="s">
        <v>61</v>
      </c>
      <c r="B3" s="7">
        <v>7.56243985707475E-2</v>
      </c>
      <c r="C3" s="2">
        <v>59316.431199999992</v>
      </c>
      <c r="D3" s="2">
        <v>76843.600000000006</v>
      </c>
      <c r="E3" s="2">
        <v>10950</v>
      </c>
      <c r="F3" s="2">
        <v>0.2104868547730788</v>
      </c>
      <c r="G3" s="2">
        <v>0.13842502822135519</v>
      </c>
      <c r="H3" s="2">
        <v>2.910061389991065E-2</v>
      </c>
      <c r="I3" s="2">
        <v>0.20398755126869519</v>
      </c>
      <c r="J3" s="2">
        <v>5.4466908425990281</v>
      </c>
      <c r="K3" s="2">
        <v>0.75284870845750196</v>
      </c>
      <c r="L3" s="7"/>
      <c r="S3" s="7">
        <v>0.10638766600483369</v>
      </c>
      <c r="T3" s="2">
        <v>0.31355340222359029</v>
      </c>
      <c r="U3" s="2">
        <v>20612.900142722989</v>
      </c>
      <c r="V3" s="2">
        <v>64229.069441816799</v>
      </c>
      <c r="W3" s="2">
        <v>0.24052194308722369</v>
      </c>
      <c r="X3" s="2">
        <v>0.13498863803638331</v>
      </c>
      <c r="Y3" s="2">
        <v>3.2467729515208828E-2</v>
      </c>
      <c r="Z3" s="7"/>
    </row>
    <row r="4" spans="1:32" ht="32" x14ac:dyDescent="0.2">
      <c r="A4" s="1" t="s">
        <v>62</v>
      </c>
      <c r="B4" s="7">
        <v>0.16902207085602011</v>
      </c>
      <c r="C4" s="2">
        <v>28050.866111111111</v>
      </c>
      <c r="D4" s="2">
        <v>56788.888888888891</v>
      </c>
      <c r="E4" s="2">
        <v>5848</v>
      </c>
      <c r="F4" s="2">
        <v>0.29231349928531231</v>
      </c>
      <c r="G4" s="2">
        <v>0.1017844954415119</v>
      </c>
      <c r="H4" s="2">
        <v>2.9651427146341221E-2</v>
      </c>
      <c r="I4" s="2">
        <v>0.25963672791398368</v>
      </c>
      <c r="J4" s="2">
        <v>5.1665392499838667</v>
      </c>
      <c r="K4" s="2">
        <v>0.53023810543887295</v>
      </c>
      <c r="L4" s="7">
        <v>0.15178125674928949</v>
      </c>
      <c r="M4" s="2">
        <v>0.38531067751430231</v>
      </c>
      <c r="N4" s="2">
        <v>11658.09218754245</v>
      </c>
      <c r="O4" s="2">
        <v>35597.531982407352</v>
      </c>
      <c r="P4" s="2">
        <v>0.2463947385341568</v>
      </c>
      <c r="Q4" s="2">
        <v>0.14050800144426001</v>
      </c>
      <c r="R4" s="2">
        <v>3.4620432277815368E-2</v>
      </c>
      <c r="S4" s="7"/>
      <c r="Z4" s="7"/>
    </row>
    <row r="5" spans="1:32" ht="32" x14ac:dyDescent="0.2">
      <c r="A5" s="1" t="s">
        <v>63</v>
      </c>
      <c r="B5" s="7">
        <v>0.14385917602979451</v>
      </c>
      <c r="C5" s="2">
        <v>6774.8926999999994</v>
      </c>
      <c r="D5" s="2">
        <v>11663.2</v>
      </c>
      <c r="E5" s="2">
        <v>1548</v>
      </c>
      <c r="F5" s="2">
        <v>0.33010003732131038</v>
      </c>
      <c r="G5" s="2">
        <v>0.13303769121345799</v>
      </c>
      <c r="H5" s="2">
        <v>4.38015103302659E-2</v>
      </c>
      <c r="I5" s="2">
        <v>0.20606636976751619</v>
      </c>
      <c r="J5" s="2">
        <v>4.4296652695189236</v>
      </c>
      <c r="K5" s="2">
        <v>0.58409222167013863</v>
      </c>
      <c r="L5" s="7">
        <v>0.1044238074614771</v>
      </c>
      <c r="M5" s="2">
        <v>1.347760445470891E-2</v>
      </c>
      <c r="N5" s="2">
        <v>140.06188329962649</v>
      </c>
      <c r="O5" s="2">
        <v>7158.7627843493037</v>
      </c>
      <c r="P5" s="2">
        <v>0.32956273433379202</v>
      </c>
      <c r="Q5" s="2">
        <v>0.12958812391067601</v>
      </c>
      <c r="R5" s="2">
        <v>4.2707416453188631E-2</v>
      </c>
      <c r="S5" s="7"/>
      <c r="Z5" s="7"/>
    </row>
    <row r="6" spans="1:32" ht="32" x14ac:dyDescent="0.2">
      <c r="A6" s="1" t="s">
        <v>64</v>
      </c>
      <c r="B6" s="7">
        <v>8.571564136080094E-2</v>
      </c>
      <c r="C6" s="2">
        <v>216962.44085714291</v>
      </c>
      <c r="D6" s="2">
        <v>206411.8571428571</v>
      </c>
      <c r="E6" s="2">
        <v>17732.28571428571</v>
      </c>
      <c r="F6" s="2">
        <v>0.36625757261048442</v>
      </c>
      <c r="G6" s="2">
        <v>8.7014974588608671E-2</v>
      </c>
      <c r="H6" s="2">
        <v>3.1940695714153831E-2</v>
      </c>
      <c r="I6" s="2">
        <v>0.1763913940005829</v>
      </c>
      <c r="J6" s="2">
        <v>12.240885852441419</v>
      </c>
      <c r="K6" s="2">
        <v>1.067205612929921</v>
      </c>
      <c r="L6" s="7">
        <v>5.6005177220424647E-2</v>
      </c>
      <c r="M6" s="2">
        <v>6.5778593634480298E-2</v>
      </c>
      <c r="N6" s="2">
        <v>17305.65740887195</v>
      </c>
      <c r="O6" s="2">
        <v>265974.34285809961</v>
      </c>
      <c r="P6" s="2">
        <v>0.41526815544787882</v>
      </c>
      <c r="Q6" s="2">
        <v>9.1127568425063477E-2</v>
      </c>
      <c r="R6" s="2">
        <v>3.7842377250326471E-2</v>
      </c>
      <c r="S6" s="7"/>
      <c r="Z6" s="7"/>
    </row>
    <row r="7" spans="1:32" ht="32" x14ac:dyDescent="0.2">
      <c r="A7" s="1" t="s">
        <v>65</v>
      </c>
      <c r="B7" s="7">
        <v>0.1736981448609389</v>
      </c>
      <c r="C7" s="2">
        <v>18372.083666666669</v>
      </c>
      <c r="D7" s="2">
        <v>22313.066666666669</v>
      </c>
      <c r="E7" s="2">
        <v>2631.2</v>
      </c>
      <c r="F7" s="2">
        <v>0.31146270715655672</v>
      </c>
      <c r="G7" s="2">
        <v>0.1200798408400629</v>
      </c>
      <c r="H7" s="2">
        <v>3.8681261560718973E-2</v>
      </c>
      <c r="I7" s="2">
        <v>0.26483526320296619</v>
      </c>
      <c r="J7" s="2">
        <v>6.9116061177237453</v>
      </c>
      <c r="K7" s="2">
        <v>0.84545322140653334</v>
      </c>
      <c r="L7" s="7"/>
      <c r="S7" s="7"/>
      <c r="Z7" s="7">
        <v>0.1817764991053078</v>
      </c>
      <c r="AA7" s="2">
        <v>0.223230503570335</v>
      </c>
      <c r="AB7" s="2">
        <v>4509.6358894865143</v>
      </c>
      <c r="AC7" s="2">
        <v>21810.451989315348</v>
      </c>
      <c r="AD7" s="2">
        <v>0.3387421858086338</v>
      </c>
      <c r="AE7" s="2">
        <v>0.13059981609029339</v>
      </c>
      <c r="AF7" s="2">
        <v>4.4239667168631577E-2</v>
      </c>
    </row>
    <row r="8" spans="1:32" ht="32" x14ac:dyDescent="0.2">
      <c r="A8" s="1" t="s">
        <v>66</v>
      </c>
      <c r="B8" s="7">
        <v>5.8151131309084128E-2</v>
      </c>
      <c r="C8" s="2">
        <v>24372.599312499999</v>
      </c>
      <c r="D8" s="2">
        <v>27907.625</v>
      </c>
      <c r="E8" s="2">
        <v>3136.125</v>
      </c>
      <c r="F8" s="2">
        <v>0.40383957037039497</v>
      </c>
      <c r="G8" s="2">
        <v>0.12256485289441719</v>
      </c>
      <c r="H8" s="2">
        <v>4.9154416322435127E-2</v>
      </c>
      <c r="I8" s="2">
        <v>0.23272072741220209</v>
      </c>
      <c r="J8" s="2">
        <v>9.0779943232806257</v>
      </c>
      <c r="K8" s="2">
        <v>1.10473191389917</v>
      </c>
      <c r="L8" s="7">
        <v>8.7011963060444231E-2</v>
      </c>
      <c r="M8" s="2">
        <v>0.11150487821031339</v>
      </c>
      <c r="N8" s="2">
        <v>3112.1297557045009</v>
      </c>
      <c r="O8" s="2">
        <v>31886.391692914302</v>
      </c>
      <c r="P8" s="2">
        <v>0.2329895416732615</v>
      </c>
      <c r="Q8" s="2">
        <v>0.22933390985547941</v>
      </c>
      <c r="R8" s="2">
        <v>5.3432402547365213E-2</v>
      </c>
      <c r="S8" s="7"/>
      <c r="Z8" s="7"/>
    </row>
    <row r="9" spans="1:32" ht="32" x14ac:dyDescent="0.2">
      <c r="A9" s="1" t="s">
        <v>67</v>
      </c>
      <c r="B9" s="7">
        <v>0.1125757425009252</v>
      </c>
      <c r="C9" s="2">
        <v>6802.1706666666678</v>
      </c>
      <c r="D9" s="2">
        <v>19509.5</v>
      </c>
      <c r="E9" s="2">
        <v>1676.833333333333</v>
      </c>
      <c r="F9" s="2">
        <v>0.26786294184629811</v>
      </c>
      <c r="G9" s="2">
        <v>8.5191846446489625E-2</v>
      </c>
      <c r="H9" s="2">
        <v>2.3136360260451069E-2</v>
      </c>
      <c r="I9" s="2">
        <v>0.20795091315790609</v>
      </c>
      <c r="J9" s="2">
        <v>4.0878220754934933</v>
      </c>
      <c r="K9" s="2">
        <v>0.3481692221052915</v>
      </c>
      <c r="L9" s="7">
        <v>0.13565313577169311</v>
      </c>
      <c r="M9" s="2">
        <v>1.9478834615913179E-2</v>
      </c>
      <c r="N9" s="2">
        <v>251.53980644591701</v>
      </c>
      <c r="O9" s="2">
        <v>9966.6418915966351</v>
      </c>
      <c r="P9" s="2">
        <v>0.3440147779965943</v>
      </c>
      <c r="Q9" s="2">
        <v>0.12881500703793869</v>
      </c>
      <c r="R9" s="2">
        <v>4.4314266048786209E-2</v>
      </c>
      <c r="S9" s="7"/>
      <c r="Z9" s="7"/>
    </row>
    <row r="10" spans="1:32" ht="32" x14ac:dyDescent="0.2">
      <c r="A10" s="1" t="s">
        <v>68</v>
      </c>
      <c r="B10" s="7">
        <v>0.20346730379533409</v>
      </c>
      <c r="C10" s="2">
        <v>12753.052</v>
      </c>
      <c r="D10" s="2">
        <v>14343.4</v>
      </c>
      <c r="E10" s="2">
        <v>1508</v>
      </c>
      <c r="F10" s="2">
        <v>0.49851840861980778</v>
      </c>
      <c r="G10" s="2">
        <v>0.1069073338172107</v>
      </c>
      <c r="H10" s="2">
        <v>5.3591274065667348E-2</v>
      </c>
      <c r="I10" s="2">
        <v>0.19951422758964649</v>
      </c>
      <c r="J10" s="2">
        <v>8.4143470757267416</v>
      </c>
      <c r="K10" s="2">
        <v>0.89882573952560796</v>
      </c>
      <c r="L10" s="7">
        <v>0.1122333144920393</v>
      </c>
      <c r="M10" s="2">
        <v>2.806536496095971E-2</v>
      </c>
      <c r="N10" s="2">
        <v>385.63919161345552</v>
      </c>
      <c r="O10" s="2">
        <v>17444.67581974134</v>
      </c>
      <c r="P10" s="2">
        <v>0.48586198766528582</v>
      </c>
      <c r="Q10" s="2">
        <v>0.12239906866899559</v>
      </c>
      <c r="R10" s="2">
        <v>5.9469054791898013E-2</v>
      </c>
      <c r="S10" s="7"/>
      <c r="Z10" s="7"/>
    </row>
    <row r="11" spans="1:32" ht="32" x14ac:dyDescent="0.2">
      <c r="A11" s="1" t="s">
        <v>69</v>
      </c>
      <c r="B11" s="7">
        <v>0.18284115984176691</v>
      </c>
      <c r="C11" s="2">
        <v>15550.179937499999</v>
      </c>
      <c r="D11" s="2">
        <v>22303.125</v>
      </c>
      <c r="E11" s="2">
        <v>2753.125</v>
      </c>
      <c r="F11" s="2">
        <v>0.32750983659015331</v>
      </c>
      <c r="G11" s="2">
        <v>0.1205724481462596</v>
      </c>
      <c r="H11" s="2">
        <v>3.9795318080491603E-2</v>
      </c>
      <c r="I11" s="2">
        <v>0.25598781838516338</v>
      </c>
      <c r="J11" s="2">
        <v>5.8066805349099226</v>
      </c>
      <c r="K11" s="2">
        <v>0.68560916628595459</v>
      </c>
      <c r="L11" s="7">
        <v>0.24355847347371809</v>
      </c>
      <c r="M11" s="2">
        <v>0.19701788279822011</v>
      </c>
      <c r="N11" s="2">
        <v>2863.0382338329832</v>
      </c>
      <c r="O11" s="2">
        <v>20563.930821563441</v>
      </c>
      <c r="P11" s="2">
        <v>0.33832534123174279</v>
      </c>
      <c r="Q11" s="2">
        <v>0.18156287323700071</v>
      </c>
      <c r="R11" s="2">
        <v>6.1427321042923942E-2</v>
      </c>
      <c r="S11" s="7"/>
      <c r="Z11" s="7"/>
    </row>
    <row r="12" spans="1:32" ht="32" x14ac:dyDescent="0.2">
      <c r="A12" s="1" t="s">
        <v>70</v>
      </c>
      <c r="B12" s="7">
        <v>0.18744826330919989</v>
      </c>
      <c r="C12" s="2">
        <v>8906.3014999999996</v>
      </c>
      <c r="D12" s="2">
        <v>27466.5</v>
      </c>
      <c r="E12" s="2">
        <v>2186.833333333333</v>
      </c>
      <c r="F12" s="2">
        <v>0.3132746711244157</v>
      </c>
      <c r="G12" s="2">
        <v>8.0433700431638569E-2</v>
      </c>
      <c r="H12" s="2">
        <v>2.5692379137955041E-2</v>
      </c>
      <c r="I12" s="2">
        <v>0.20292970796065529</v>
      </c>
      <c r="J12" s="2">
        <v>4.1707844400185126</v>
      </c>
      <c r="K12" s="2">
        <v>0.32976152867971392</v>
      </c>
      <c r="L12" s="7">
        <v>0.13913856521859749</v>
      </c>
      <c r="M12" s="2">
        <v>1.900758995548122E-2</v>
      </c>
      <c r="N12" s="2">
        <v>252.84656143062739</v>
      </c>
      <c r="O12" s="2">
        <v>9264.6897276573072</v>
      </c>
      <c r="P12" s="2">
        <v>0.27492654874740402</v>
      </c>
      <c r="Q12" s="2">
        <v>8.0920402132295163E-2</v>
      </c>
      <c r="R12" s="2">
        <v>2.2247166881483978E-2</v>
      </c>
      <c r="S12" s="7"/>
      <c r="Z12" s="7"/>
    </row>
    <row r="13" spans="1:32" ht="32" x14ac:dyDescent="0.2">
      <c r="A13" s="1" t="s">
        <v>71</v>
      </c>
      <c r="B13" s="7">
        <v>0.20402743380812111</v>
      </c>
      <c r="C13" s="2">
        <v>9891.285045454546</v>
      </c>
      <c r="D13" s="2">
        <v>23522</v>
      </c>
      <c r="E13" s="2">
        <v>1565.272727272727</v>
      </c>
      <c r="F13" s="2">
        <v>0.34223700026193787</v>
      </c>
      <c r="G13" s="2">
        <v>7.1115535483176756E-2</v>
      </c>
      <c r="H13" s="2">
        <v>2.4853789949987552E-2</v>
      </c>
      <c r="I13" s="2">
        <v>0.17151440597900619</v>
      </c>
      <c r="J13" s="2">
        <v>6.3534618107072109</v>
      </c>
      <c r="K13" s="2">
        <v>0.4607015516600716</v>
      </c>
      <c r="L13" s="7"/>
      <c r="S13" s="7"/>
      <c r="Z13" s="7">
        <v>0.1827017898494073</v>
      </c>
      <c r="AA13" s="2">
        <v>0.1065684427658275</v>
      </c>
      <c r="AB13" s="2">
        <v>1147.613369074887</v>
      </c>
      <c r="AC13" s="2">
        <v>10966.06374208709</v>
      </c>
      <c r="AD13" s="2">
        <v>0.35258144298043842</v>
      </c>
      <c r="AE13" s="2">
        <v>6.9913872926138459E-2</v>
      </c>
      <c r="AF13" s="2">
        <v>2.46503342006489E-2</v>
      </c>
    </row>
    <row r="14" spans="1:32" ht="32" x14ac:dyDescent="0.2">
      <c r="A14" s="1" t="s">
        <v>72</v>
      </c>
      <c r="B14" s="7">
        <v>0.12440166068432371</v>
      </c>
      <c r="C14" s="2">
        <v>29797.584944444439</v>
      </c>
      <c r="D14" s="2">
        <v>36960.666666666657</v>
      </c>
      <c r="E14" s="2">
        <v>4504.4444444444443</v>
      </c>
      <c r="F14" s="2">
        <v>0.30493617235968717</v>
      </c>
      <c r="G14" s="2">
        <v>0.1233304316923495</v>
      </c>
      <c r="H14" s="2">
        <v>3.7354012884823928E-2</v>
      </c>
      <c r="I14" s="2">
        <v>0.20435417369397671</v>
      </c>
      <c r="J14" s="2">
        <v>6.6168133154543689</v>
      </c>
      <c r="K14" s="2">
        <v>0.81419062916549834</v>
      </c>
      <c r="L14" s="7"/>
      <c r="S14" s="7"/>
      <c r="Z14" s="7">
        <v>0.14580387303444181</v>
      </c>
      <c r="AA14" s="2">
        <v>7.5742816944487437E-2</v>
      </c>
      <c r="AB14" s="2">
        <v>2554.256518719706</v>
      </c>
      <c r="AC14" s="2">
        <v>33853.045211144541</v>
      </c>
      <c r="AD14" s="2">
        <v>0.32206474764523418</v>
      </c>
      <c r="AE14" s="2">
        <v>0.12660643716117789</v>
      </c>
      <c r="AF14" s="2">
        <v>4.0775470234576963E-2</v>
      </c>
    </row>
    <row r="15" spans="1:32" ht="32" x14ac:dyDescent="0.2">
      <c r="A15" s="1" t="s">
        <v>73</v>
      </c>
      <c r="B15" s="7">
        <v>0.1023919166332667</v>
      </c>
      <c r="C15" s="2">
        <v>8186.9226666666682</v>
      </c>
      <c r="D15" s="2">
        <v>15604.33333333333</v>
      </c>
      <c r="E15" s="2">
        <v>1336.666666666667</v>
      </c>
      <c r="F15" s="2">
        <v>0.39011476466795608</v>
      </c>
      <c r="G15" s="2">
        <v>8.5662612632745661E-2</v>
      </c>
      <c r="H15" s="2">
        <v>3.316953381561373E-2</v>
      </c>
      <c r="I15" s="2">
        <v>0.1789069993858434</v>
      </c>
      <c r="J15" s="2">
        <v>6.1776185248226936</v>
      </c>
      <c r="K15" s="2">
        <v>0.52525285799602539</v>
      </c>
      <c r="L15" s="7">
        <v>0.11855460071927271</v>
      </c>
      <c r="M15" s="2">
        <v>4.6024279183016613E-16</v>
      </c>
      <c r="N15" s="2">
        <v>3.929466219177424E-12</v>
      </c>
      <c r="O15" s="2">
        <v>9139.433741624327</v>
      </c>
      <c r="P15" s="2">
        <v>0.37802199731791319</v>
      </c>
      <c r="Q15" s="2">
        <v>9.8022599159704876E-2</v>
      </c>
      <c r="R15" s="2">
        <v>3.7054698716644838E-2</v>
      </c>
      <c r="S15" s="7"/>
      <c r="Z15" s="7"/>
    </row>
    <row r="16" spans="1:32" ht="32" x14ac:dyDescent="0.2">
      <c r="A16" s="1" t="s">
        <v>74</v>
      </c>
      <c r="B16" s="7">
        <v>0.14521301364970221</v>
      </c>
      <c r="C16" s="2">
        <v>10118.105</v>
      </c>
      <c r="D16" s="2">
        <v>23040.666666666672</v>
      </c>
      <c r="E16" s="2">
        <v>1926</v>
      </c>
      <c r="F16" s="2">
        <v>0.31601385081272321</v>
      </c>
      <c r="G16" s="2">
        <v>8.4347499027718542E-2</v>
      </c>
      <c r="H16" s="2">
        <v>2.6852093457732609E-2</v>
      </c>
      <c r="I16" s="2">
        <v>0.15810077722907559</v>
      </c>
      <c r="J16" s="2">
        <v>5.4099680206955147</v>
      </c>
      <c r="K16" s="2">
        <v>0.45610098804114602</v>
      </c>
      <c r="L16" s="7">
        <v>9.4852138451375897E-2</v>
      </c>
      <c r="M16" s="2">
        <v>9.7660385099115329E-2</v>
      </c>
      <c r="N16" s="2">
        <v>1172.996350011555</v>
      </c>
      <c r="O16" s="2">
        <v>15620.85827018304</v>
      </c>
      <c r="P16" s="2">
        <v>0.62402229448972657</v>
      </c>
      <c r="Q16" s="2">
        <v>7.0863855158147221E-2</v>
      </c>
      <c r="R16" s="2">
        <v>4.4220625492174682E-2</v>
      </c>
      <c r="S16" s="7"/>
      <c r="Z16" s="7"/>
    </row>
    <row r="17" spans="1:32" ht="32" x14ac:dyDescent="0.2">
      <c r="A17" s="1" t="s">
        <v>75</v>
      </c>
      <c r="B17" s="7">
        <v>9.7315435168005865E-2</v>
      </c>
      <c r="C17" s="2">
        <v>13775.664166666669</v>
      </c>
      <c r="D17" s="2">
        <v>32704.777777777781</v>
      </c>
      <c r="E17" s="2">
        <v>2595.333333333333</v>
      </c>
      <c r="F17" s="2">
        <v>0.30901606921662778</v>
      </c>
      <c r="G17" s="2">
        <v>8.0424944790966138E-2</v>
      </c>
      <c r="H17" s="2">
        <v>2.5070906641993969E-2</v>
      </c>
      <c r="I17" s="2">
        <v>0.17968840939800601</v>
      </c>
      <c r="J17" s="2">
        <v>5.3503204113292533</v>
      </c>
      <c r="K17" s="2">
        <v>0.43369863767605682</v>
      </c>
      <c r="L17" s="7">
        <v>0.1203761413084989</v>
      </c>
      <c r="M17" s="2">
        <v>7.8661009714465727E-2</v>
      </c>
      <c r="N17" s="2">
        <v>1146.107487412977</v>
      </c>
      <c r="O17" s="2">
        <v>16678.42792204197</v>
      </c>
      <c r="P17" s="2">
        <v>0.36310323848853893</v>
      </c>
      <c r="Q17" s="2">
        <v>8.4065534564321379E-2</v>
      </c>
      <c r="R17" s="2">
        <v>3.052446784557529E-2</v>
      </c>
      <c r="S17" s="7"/>
      <c r="Z17" s="7"/>
    </row>
    <row r="18" spans="1:32" ht="32" x14ac:dyDescent="0.2">
      <c r="A18" s="1" t="s">
        <v>76</v>
      </c>
      <c r="B18" s="7">
        <v>0.16810842490072259</v>
      </c>
      <c r="C18" s="2">
        <v>19575.939055555551</v>
      </c>
      <c r="D18" s="2">
        <v>64340.111111111109</v>
      </c>
      <c r="E18" s="2">
        <v>4028.666666666667</v>
      </c>
      <c r="F18" s="2">
        <v>0.32451452036265521</v>
      </c>
      <c r="G18" s="2">
        <v>6.122396980223594E-2</v>
      </c>
      <c r="H18" s="2">
        <v>1.976874127964548E-2</v>
      </c>
      <c r="I18" s="2">
        <v>0.13759420836902031</v>
      </c>
      <c r="J18" s="2">
        <v>4.9858108633927909</v>
      </c>
      <c r="K18" s="2">
        <v>0.30315125186198122</v>
      </c>
      <c r="L18" s="7">
        <v>0.1359657488301973</v>
      </c>
      <c r="M18" s="2">
        <v>2.712402202983363</v>
      </c>
      <c r="N18" s="2">
        <v>7099.2806939795291</v>
      </c>
      <c r="O18" s="2">
        <v>24584.55926917342</v>
      </c>
      <c r="P18" s="2">
        <v>0.31615419798935429</v>
      </c>
      <c r="Q18" s="2">
        <v>7.1524794531557939E-2</v>
      </c>
      <c r="R18" s="2">
        <v>2.2612864051478061E-2</v>
      </c>
      <c r="S18" s="7"/>
      <c r="Z18" s="7"/>
    </row>
    <row r="19" spans="1:32" ht="32" x14ac:dyDescent="0.2">
      <c r="A19" s="1" t="s">
        <v>77</v>
      </c>
      <c r="B19" s="7">
        <v>0.14174944284019311</v>
      </c>
      <c r="C19" s="2">
        <v>13826.653666666671</v>
      </c>
      <c r="D19" s="2">
        <v>28772</v>
      </c>
      <c r="E19" s="2">
        <v>2517</v>
      </c>
      <c r="F19" s="2">
        <v>0.31785968624595079</v>
      </c>
      <c r="G19" s="2">
        <v>8.8509923545880151E-2</v>
      </c>
      <c r="H19" s="2">
        <v>2.8526930216328711E-2</v>
      </c>
      <c r="I19" s="2">
        <v>0.16992583892445279</v>
      </c>
      <c r="J19" s="2">
        <v>5.4583408010610146</v>
      </c>
      <c r="K19" s="2">
        <v>0.4877204695875606</v>
      </c>
      <c r="L19" s="7">
        <v>0.21316429632830591</v>
      </c>
      <c r="M19" s="2">
        <v>4.334723053370636E-16</v>
      </c>
      <c r="N19" s="2">
        <v>7.425993143694778E-12</v>
      </c>
      <c r="O19" s="2">
        <v>21520.921197943</v>
      </c>
      <c r="P19" s="2">
        <v>0.40870941543570888</v>
      </c>
      <c r="Q19" s="2">
        <v>0.12287022519533761</v>
      </c>
      <c r="R19" s="2">
        <v>5.0218217914040367E-2</v>
      </c>
      <c r="S19" s="7"/>
      <c r="Z19" s="7"/>
    </row>
    <row r="20" spans="1:32" ht="32" x14ac:dyDescent="0.2">
      <c r="A20" s="1" t="s">
        <v>78</v>
      </c>
      <c r="B20" s="7">
        <v>0.14576402645968761</v>
      </c>
      <c r="C20" s="2">
        <v>5674.4224000000004</v>
      </c>
      <c r="D20" s="2">
        <v>15016.2</v>
      </c>
      <c r="E20" s="2">
        <v>966.8</v>
      </c>
      <c r="F20" s="2">
        <v>0.35040088712972067</v>
      </c>
      <c r="G20" s="2">
        <v>6.7290089793659538E-2</v>
      </c>
      <c r="H20" s="2">
        <v>2.391855386169349E-2</v>
      </c>
      <c r="I20" s="2">
        <v>0.14639943905323491</v>
      </c>
      <c r="J20" s="2">
        <v>5.9035999442519103</v>
      </c>
      <c r="K20" s="2">
        <v>0.40299520214314999</v>
      </c>
      <c r="L20" s="7"/>
      <c r="S20" s="7"/>
      <c r="Z20" s="7">
        <v>0.1138160567172478</v>
      </c>
      <c r="AA20" s="2">
        <v>7.9346559577366499E-2</v>
      </c>
      <c r="AB20" s="2">
        <v>529.66566321846926</v>
      </c>
      <c r="AC20" s="2">
        <v>5909.4413982809974</v>
      </c>
      <c r="AD20" s="2">
        <v>0.33129202021488519</v>
      </c>
      <c r="AE20" s="2">
        <v>7.0436358876838037E-2</v>
      </c>
      <c r="AF20" s="2">
        <v>2.3335003628888341E-2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T11" sqref="T11"/>
    </sheetView>
  </sheetViews>
  <sheetFormatPr baseColWidth="10" defaultColWidth="19.1640625" defaultRowHeight="15" x14ac:dyDescent="0.2"/>
  <cols>
    <col min="1" max="1" width="21.33203125" style="2" customWidth="1"/>
    <col min="2" max="16384" width="19.1640625" style="2"/>
  </cols>
  <sheetData>
    <row r="1" spans="1:25" ht="48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6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ht="32" x14ac:dyDescent="0.2">
      <c r="A2" s="1" t="s">
        <v>60</v>
      </c>
      <c r="B2" s="7">
        <v>0.13615825193234479</v>
      </c>
      <c r="C2" s="2">
        <v>10380.833857142859</v>
      </c>
      <c r="D2" s="2">
        <v>21019.142857142859</v>
      </c>
      <c r="E2" s="2">
        <v>1616.285714285714</v>
      </c>
      <c r="F2" s="2">
        <v>0.35072020893246442</v>
      </c>
      <c r="G2" s="2">
        <v>7.7313693815823314E-2</v>
      </c>
      <c r="H2" s="2">
        <v>2.682151637582008E-2</v>
      </c>
      <c r="I2" s="2">
        <v>0.17131348481183431</v>
      </c>
      <c r="J2" s="2">
        <v>6.5703553716442817</v>
      </c>
      <c r="K2" s="2">
        <v>0.50260591164067836</v>
      </c>
      <c r="L2" s="7">
        <v>0.17053252857301901</v>
      </c>
      <c r="M2" s="2">
        <v>5.9163874169755548E-2</v>
      </c>
      <c r="N2" s="2">
        <v>693.2332848441747</v>
      </c>
      <c r="O2" s="2">
        <v>10714.90757408139</v>
      </c>
      <c r="P2" s="2">
        <v>0.28586832226835718</v>
      </c>
      <c r="Q2" s="2">
        <v>0.101165250263393</v>
      </c>
      <c r="R2" s="2">
        <v>2.8919940364654641E-2</v>
      </c>
      <c r="S2" s="7"/>
    </row>
    <row r="3" spans="1:25" ht="32" x14ac:dyDescent="0.2">
      <c r="A3" s="1" t="s">
        <v>61</v>
      </c>
      <c r="B3" s="7">
        <v>7.56243985707475E-2</v>
      </c>
      <c r="C3" s="2">
        <v>59316.431199999992</v>
      </c>
      <c r="D3" s="2">
        <v>76843.600000000006</v>
      </c>
      <c r="E3" s="2">
        <v>10950</v>
      </c>
      <c r="F3" s="2">
        <v>0.2104868547730788</v>
      </c>
      <c r="G3" s="2">
        <v>0.13842502822135519</v>
      </c>
      <c r="H3" s="2">
        <v>2.910061389991065E-2</v>
      </c>
      <c r="I3" s="2">
        <v>0.20398755126869519</v>
      </c>
      <c r="J3" s="2">
        <v>5.4466908425990281</v>
      </c>
      <c r="K3" s="2">
        <v>0.75284870845750196</v>
      </c>
      <c r="L3" s="7">
        <v>0.1074337718644752</v>
      </c>
      <c r="M3" s="2">
        <v>0.31571549579253239</v>
      </c>
      <c r="N3" s="2">
        <v>20605.381628008461</v>
      </c>
      <c r="O3" s="2">
        <v>66307.000917496378</v>
      </c>
      <c r="P3" s="2">
        <v>0.23386806523683079</v>
      </c>
      <c r="Q3" s="2">
        <v>0.14249722813611021</v>
      </c>
      <c r="R3" s="2">
        <v>3.3325551045803391E-2</v>
      </c>
      <c r="S3" s="7"/>
    </row>
    <row r="4" spans="1:25" ht="32" x14ac:dyDescent="0.2">
      <c r="A4" s="1" t="s">
        <v>62</v>
      </c>
      <c r="B4" s="7">
        <v>0.16902207085602011</v>
      </c>
      <c r="C4" s="2">
        <v>28050.866111111111</v>
      </c>
      <c r="D4" s="2">
        <v>56788.888888888891</v>
      </c>
      <c r="E4" s="2">
        <v>5848</v>
      </c>
      <c r="F4" s="2">
        <v>0.29231349928531231</v>
      </c>
      <c r="G4" s="2">
        <v>0.1017844954415119</v>
      </c>
      <c r="H4" s="2">
        <v>2.9651427146341221E-2</v>
      </c>
      <c r="I4" s="2">
        <v>0.25963672791398368</v>
      </c>
      <c r="J4" s="2">
        <v>5.1665392499838667</v>
      </c>
      <c r="K4" s="2">
        <v>0.53023810543887295</v>
      </c>
      <c r="L4" s="7">
        <v>0.15178125674928949</v>
      </c>
      <c r="M4" s="2">
        <v>0.38531067751430231</v>
      </c>
      <c r="N4" s="2">
        <v>11658.09218754245</v>
      </c>
      <c r="O4" s="2">
        <v>35597.531982407352</v>
      </c>
      <c r="P4" s="2">
        <v>0.2463947385341568</v>
      </c>
      <c r="Q4" s="2">
        <v>0.14050800144426001</v>
      </c>
      <c r="R4" s="2">
        <v>3.4620432277815368E-2</v>
      </c>
      <c r="S4" s="7"/>
    </row>
    <row r="5" spans="1:25" ht="32" x14ac:dyDescent="0.2">
      <c r="A5" s="1" t="s">
        <v>63</v>
      </c>
      <c r="B5" s="7">
        <v>0.14385917602979451</v>
      </c>
      <c r="C5" s="2">
        <v>6774.8926999999994</v>
      </c>
      <c r="D5" s="2">
        <v>11663.2</v>
      </c>
      <c r="E5" s="2">
        <v>1548</v>
      </c>
      <c r="F5" s="2">
        <v>0.33010003732131038</v>
      </c>
      <c r="G5" s="2">
        <v>0.13303769121345799</v>
      </c>
      <c r="H5" s="2">
        <v>4.38015103302659E-2</v>
      </c>
      <c r="I5" s="2">
        <v>0.20606636976751619</v>
      </c>
      <c r="J5" s="2">
        <v>4.4296652695189236</v>
      </c>
      <c r="K5" s="2">
        <v>0.58409222167013863</v>
      </c>
      <c r="L5" s="7">
        <v>0.1044238074614771</v>
      </c>
      <c r="M5" s="2">
        <v>1.347760445470891E-2</v>
      </c>
      <c r="N5" s="2">
        <v>140.06188329962649</v>
      </c>
      <c r="O5" s="2">
        <v>7158.7627843493037</v>
      </c>
      <c r="P5" s="2">
        <v>0.32956273433379202</v>
      </c>
      <c r="Q5" s="2">
        <v>0.12958812391067601</v>
      </c>
      <c r="R5" s="2">
        <v>4.2707416453188631E-2</v>
      </c>
      <c r="S5" s="7"/>
    </row>
    <row r="6" spans="1:25" ht="32" x14ac:dyDescent="0.2">
      <c r="A6" s="1" t="s">
        <v>64</v>
      </c>
      <c r="B6" s="7">
        <v>8.571564136080094E-2</v>
      </c>
      <c r="C6" s="2">
        <v>216962.44085714291</v>
      </c>
      <c r="D6" s="2">
        <v>206411.8571428571</v>
      </c>
      <c r="E6" s="2">
        <v>17732.28571428571</v>
      </c>
      <c r="F6" s="2">
        <v>0.36625757261048442</v>
      </c>
      <c r="G6" s="2">
        <v>8.7014974588608671E-2</v>
      </c>
      <c r="H6" s="2">
        <v>3.1940695714153831E-2</v>
      </c>
      <c r="I6" s="2">
        <v>0.1763913940005829</v>
      </c>
      <c r="J6" s="2">
        <v>12.240885852441419</v>
      </c>
      <c r="K6" s="2">
        <v>1.067205612929921</v>
      </c>
      <c r="L6" s="7">
        <v>5.6005177220424647E-2</v>
      </c>
      <c r="M6" s="2">
        <v>6.5778593634480298E-2</v>
      </c>
      <c r="N6" s="2">
        <v>17305.65740887195</v>
      </c>
      <c r="O6" s="2">
        <v>265974.34285809961</v>
      </c>
      <c r="P6" s="2">
        <v>0.41526815544787882</v>
      </c>
      <c r="Q6" s="2">
        <v>9.1127568425063477E-2</v>
      </c>
      <c r="R6" s="2">
        <v>3.7842377250326471E-2</v>
      </c>
      <c r="S6" s="7"/>
    </row>
    <row r="7" spans="1:25" ht="32" x14ac:dyDescent="0.2">
      <c r="A7" s="1" t="s">
        <v>65</v>
      </c>
      <c r="B7" s="7">
        <v>0.1736981448609389</v>
      </c>
      <c r="C7" s="2">
        <v>18372.083666666669</v>
      </c>
      <c r="D7" s="2">
        <v>22313.066666666669</v>
      </c>
      <c r="E7" s="2">
        <v>2631.2</v>
      </c>
      <c r="F7" s="2">
        <v>0.31146270715655672</v>
      </c>
      <c r="G7" s="2">
        <v>0.1200798408400629</v>
      </c>
      <c r="H7" s="2">
        <v>3.8681261560718973E-2</v>
      </c>
      <c r="I7" s="2">
        <v>0.26483526320296619</v>
      </c>
      <c r="J7" s="2">
        <v>6.9116061177237453</v>
      </c>
      <c r="K7" s="2">
        <v>0.84545322140653334</v>
      </c>
      <c r="L7" s="7">
        <v>0.18811580817744969</v>
      </c>
      <c r="M7" s="2">
        <v>0.22641981459316529</v>
      </c>
      <c r="N7" s="2">
        <v>4434.8381308391108</v>
      </c>
      <c r="O7" s="2">
        <v>21426.971951883152</v>
      </c>
      <c r="P7" s="2">
        <v>0.33759340502465818</v>
      </c>
      <c r="Q7" s="2">
        <v>0.13119236270990739</v>
      </c>
      <c r="R7" s="2">
        <v>4.4289676440467628E-2</v>
      </c>
      <c r="S7" s="7"/>
    </row>
    <row r="8" spans="1:25" ht="32" x14ac:dyDescent="0.2">
      <c r="A8" s="1" t="s">
        <v>66</v>
      </c>
      <c r="B8" s="7">
        <v>5.8151131309084128E-2</v>
      </c>
      <c r="C8" s="2">
        <v>24372.599312499999</v>
      </c>
      <c r="D8" s="2">
        <v>27907.625</v>
      </c>
      <c r="E8" s="2">
        <v>3136.125</v>
      </c>
      <c r="F8" s="2">
        <v>0.40383957037039497</v>
      </c>
      <c r="G8" s="2">
        <v>0.12256485289441719</v>
      </c>
      <c r="H8" s="2">
        <v>4.9154416322435127E-2</v>
      </c>
      <c r="I8" s="2">
        <v>0.23272072741220209</v>
      </c>
      <c r="J8" s="2">
        <v>9.0779943232806257</v>
      </c>
      <c r="K8" s="2">
        <v>1.10473191389917</v>
      </c>
      <c r="L8" s="7">
        <v>8.7011963060444231E-2</v>
      </c>
      <c r="M8" s="2">
        <v>0.11150487821031339</v>
      </c>
      <c r="N8" s="2">
        <v>3112.1297557045009</v>
      </c>
      <c r="O8" s="2">
        <v>31886.391692914302</v>
      </c>
      <c r="P8" s="2">
        <v>0.2329895416732615</v>
      </c>
      <c r="Q8" s="2">
        <v>0.22933390985547941</v>
      </c>
      <c r="R8" s="2">
        <v>5.3432402547365213E-2</v>
      </c>
      <c r="S8" s="7"/>
    </row>
    <row r="9" spans="1:25" ht="32" x14ac:dyDescent="0.2">
      <c r="A9" s="1" t="s">
        <v>67</v>
      </c>
      <c r="B9" s="7">
        <v>0.1125757425009252</v>
      </c>
      <c r="C9" s="2">
        <v>6802.1706666666678</v>
      </c>
      <c r="D9" s="2">
        <v>19509.5</v>
      </c>
      <c r="E9" s="2">
        <v>1676.833333333333</v>
      </c>
      <c r="F9" s="2">
        <v>0.26786294184629811</v>
      </c>
      <c r="G9" s="2">
        <v>8.5191846446489625E-2</v>
      </c>
      <c r="H9" s="2">
        <v>2.3136360260451069E-2</v>
      </c>
      <c r="I9" s="2">
        <v>0.20795091315790609</v>
      </c>
      <c r="J9" s="2">
        <v>4.0878220754934933</v>
      </c>
      <c r="K9" s="2">
        <v>0.3481692221052915</v>
      </c>
      <c r="L9" s="7">
        <v>0.13565313577169311</v>
      </c>
      <c r="M9" s="2">
        <v>1.9478834615913179E-2</v>
      </c>
      <c r="N9" s="2">
        <v>251.53980644591701</v>
      </c>
      <c r="O9" s="2">
        <v>9966.6418915966351</v>
      </c>
      <c r="P9" s="2">
        <v>0.3440147779965943</v>
      </c>
      <c r="Q9" s="2">
        <v>0.12881500703793869</v>
      </c>
      <c r="R9" s="2">
        <v>4.4314266048786209E-2</v>
      </c>
      <c r="S9" s="7"/>
    </row>
    <row r="10" spans="1:25" ht="32" x14ac:dyDescent="0.2">
      <c r="A10" s="1" t="s">
        <v>68</v>
      </c>
      <c r="B10" s="7">
        <v>0.20346730379533409</v>
      </c>
      <c r="C10" s="2">
        <v>12753.052</v>
      </c>
      <c r="D10" s="2">
        <v>14343.4</v>
      </c>
      <c r="E10" s="2">
        <v>1508</v>
      </c>
      <c r="F10" s="2">
        <v>0.49851840861980778</v>
      </c>
      <c r="G10" s="2">
        <v>0.1069073338172107</v>
      </c>
      <c r="H10" s="2">
        <v>5.3591274065667348E-2</v>
      </c>
      <c r="I10" s="2">
        <v>0.19951422758964649</v>
      </c>
      <c r="J10" s="2">
        <v>8.4143470757267416</v>
      </c>
      <c r="K10" s="2">
        <v>0.89882573952560796</v>
      </c>
      <c r="L10" s="7">
        <v>0.1122333144920393</v>
      </c>
      <c r="M10" s="2">
        <v>2.806536496095971E-2</v>
      </c>
      <c r="N10" s="2">
        <v>385.63919161345552</v>
      </c>
      <c r="O10" s="2">
        <v>17444.67581974134</v>
      </c>
      <c r="P10" s="2">
        <v>0.48586198766528582</v>
      </c>
      <c r="Q10" s="2">
        <v>0.12239906866899559</v>
      </c>
      <c r="R10" s="2">
        <v>5.9469054791898013E-2</v>
      </c>
      <c r="S10" s="7"/>
    </row>
    <row r="11" spans="1:25" ht="32" x14ac:dyDescent="0.2">
      <c r="A11" s="1" t="s">
        <v>69</v>
      </c>
      <c r="B11" s="7">
        <v>0.18284115984176691</v>
      </c>
      <c r="C11" s="2">
        <v>15550.179937499999</v>
      </c>
      <c r="D11" s="2">
        <v>22303.125</v>
      </c>
      <c r="E11" s="2">
        <v>2753.125</v>
      </c>
      <c r="F11" s="2">
        <v>0.32750983659015331</v>
      </c>
      <c r="G11" s="2">
        <v>0.1205724481462596</v>
      </c>
      <c r="H11" s="2">
        <v>3.9795318080491603E-2</v>
      </c>
      <c r="I11" s="2">
        <v>0.25598781838516338</v>
      </c>
      <c r="J11" s="2">
        <v>5.8066805349099226</v>
      </c>
      <c r="K11" s="2">
        <v>0.68560916628595459</v>
      </c>
      <c r="L11" s="7">
        <v>0.24355847347371809</v>
      </c>
      <c r="M11" s="2">
        <v>0.19701788279822011</v>
      </c>
      <c r="N11" s="2">
        <v>2863.0382338329832</v>
      </c>
      <c r="O11" s="2">
        <v>20563.930821563441</v>
      </c>
      <c r="P11" s="2">
        <v>0.33832534123174279</v>
      </c>
      <c r="Q11" s="2">
        <v>0.18156287323700071</v>
      </c>
      <c r="R11" s="2">
        <v>6.1427321042923942E-2</v>
      </c>
      <c r="S11" s="7"/>
    </row>
    <row r="12" spans="1:25" ht="32" x14ac:dyDescent="0.2">
      <c r="A12" s="1" t="s">
        <v>70</v>
      </c>
      <c r="B12" s="7">
        <v>0.18744826330919989</v>
      </c>
      <c r="C12" s="2">
        <v>8906.3014999999996</v>
      </c>
      <c r="D12" s="2">
        <v>27466.5</v>
      </c>
      <c r="E12" s="2">
        <v>2186.833333333333</v>
      </c>
      <c r="F12" s="2">
        <v>0.3132746711244157</v>
      </c>
      <c r="G12" s="2">
        <v>8.0433700431638569E-2</v>
      </c>
      <c r="H12" s="2">
        <v>2.5692379137955041E-2</v>
      </c>
      <c r="I12" s="2">
        <v>0.20292970796065529</v>
      </c>
      <c r="J12" s="2">
        <v>4.1707844400185126</v>
      </c>
      <c r="K12" s="2">
        <v>0.32976152867971392</v>
      </c>
      <c r="L12" s="7">
        <v>0.13913856521859749</v>
      </c>
      <c r="M12" s="2">
        <v>1.900758995548122E-2</v>
      </c>
      <c r="N12" s="2">
        <v>252.84656143062739</v>
      </c>
      <c r="O12" s="2">
        <v>9264.6897276573072</v>
      </c>
      <c r="P12" s="2">
        <v>0.27492654874740402</v>
      </c>
      <c r="Q12" s="2">
        <v>8.0920402132295163E-2</v>
      </c>
      <c r="R12" s="2">
        <v>2.2247166881483978E-2</v>
      </c>
      <c r="S12" s="7"/>
    </row>
    <row r="13" spans="1:25" ht="32" x14ac:dyDescent="0.2">
      <c r="A13" s="1" t="s">
        <v>71</v>
      </c>
      <c r="B13" s="7">
        <v>0.20402743380812111</v>
      </c>
      <c r="C13" s="2">
        <v>9891.285045454546</v>
      </c>
      <c r="D13" s="2">
        <v>23522</v>
      </c>
      <c r="E13" s="2">
        <v>1565.272727272727</v>
      </c>
      <c r="F13" s="2">
        <v>0.34223700026193787</v>
      </c>
      <c r="G13" s="2">
        <v>7.1115535483176756E-2</v>
      </c>
      <c r="H13" s="2">
        <v>2.4853789949987552E-2</v>
      </c>
      <c r="I13" s="2">
        <v>0.17151440597900619</v>
      </c>
      <c r="J13" s="2">
        <v>6.3534618107072109</v>
      </c>
      <c r="K13" s="2">
        <v>0.4607015516600716</v>
      </c>
      <c r="L13" s="7"/>
      <c r="S13" s="7">
        <v>0.1827017898494073</v>
      </c>
      <c r="T13" s="2">
        <v>0.1065684427658275</v>
      </c>
      <c r="U13" s="2">
        <v>1147.613369074887</v>
      </c>
      <c r="V13" s="2">
        <v>10966.06374208709</v>
      </c>
      <c r="W13" s="2">
        <v>0.35258144298043842</v>
      </c>
      <c r="X13" s="2">
        <v>6.9913872926138459E-2</v>
      </c>
      <c r="Y13" s="2">
        <v>2.46503342006489E-2</v>
      </c>
    </row>
    <row r="14" spans="1:25" ht="32" x14ac:dyDescent="0.2">
      <c r="A14" s="1" t="s">
        <v>72</v>
      </c>
      <c r="B14" s="7">
        <v>0.12440166068432371</v>
      </c>
      <c r="C14" s="2">
        <v>29797.584944444439</v>
      </c>
      <c r="D14" s="2">
        <v>36960.666666666657</v>
      </c>
      <c r="E14" s="2">
        <v>4504.4444444444443</v>
      </c>
      <c r="F14" s="2">
        <v>0.30493617235968717</v>
      </c>
      <c r="G14" s="2">
        <v>0.1233304316923495</v>
      </c>
      <c r="H14" s="2">
        <v>3.7354012884823928E-2</v>
      </c>
      <c r="I14" s="2">
        <v>0.20435417369397671</v>
      </c>
      <c r="J14" s="2">
        <v>6.6168133154543689</v>
      </c>
      <c r="K14" s="2">
        <v>0.81419062916549834</v>
      </c>
      <c r="L14" s="7"/>
      <c r="S14" s="7">
        <v>0.14580387303444181</v>
      </c>
      <c r="T14" s="2">
        <v>7.5742816944487437E-2</v>
      </c>
      <c r="U14" s="2">
        <v>2554.256518719706</v>
      </c>
      <c r="V14" s="2">
        <v>33853.045211144541</v>
      </c>
      <c r="W14" s="2">
        <v>0.32206474764523418</v>
      </c>
      <c r="X14" s="2">
        <v>0.12660643716117789</v>
      </c>
      <c r="Y14" s="2">
        <v>4.0775470234576963E-2</v>
      </c>
    </row>
    <row r="15" spans="1:25" ht="32" x14ac:dyDescent="0.2">
      <c r="A15" s="1" t="s">
        <v>73</v>
      </c>
      <c r="B15" s="7">
        <v>0.1023919166332667</v>
      </c>
      <c r="C15" s="2">
        <v>8186.9226666666682</v>
      </c>
      <c r="D15" s="2">
        <v>15604.33333333333</v>
      </c>
      <c r="E15" s="2">
        <v>1336.666666666667</v>
      </c>
      <c r="F15" s="2">
        <v>0.39011476466795608</v>
      </c>
      <c r="G15" s="2">
        <v>8.5662612632745661E-2</v>
      </c>
      <c r="H15" s="2">
        <v>3.316953381561373E-2</v>
      </c>
      <c r="I15" s="2">
        <v>0.1789069993858434</v>
      </c>
      <c r="J15" s="2">
        <v>6.1776185248226936</v>
      </c>
      <c r="K15" s="2">
        <v>0.52525285799602539</v>
      </c>
      <c r="L15" s="7">
        <v>0.11855460071927271</v>
      </c>
      <c r="M15" s="2">
        <v>4.6024279183016613E-16</v>
      </c>
      <c r="N15" s="2">
        <v>3.929466219177424E-12</v>
      </c>
      <c r="O15" s="2">
        <v>9139.433741624327</v>
      </c>
      <c r="P15" s="2">
        <v>0.37802199731791319</v>
      </c>
      <c r="Q15" s="2">
        <v>9.8022599159704876E-2</v>
      </c>
      <c r="R15" s="2">
        <v>3.7054698716644838E-2</v>
      </c>
      <c r="S15" s="7"/>
    </row>
    <row r="16" spans="1:25" ht="32" x14ac:dyDescent="0.2">
      <c r="A16" s="1" t="s">
        <v>74</v>
      </c>
      <c r="B16" s="7">
        <v>0.14521301364970221</v>
      </c>
      <c r="C16" s="2">
        <v>10118.105</v>
      </c>
      <c r="D16" s="2">
        <v>23040.666666666672</v>
      </c>
      <c r="E16" s="2">
        <v>1926</v>
      </c>
      <c r="F16" s="2">
        <v>0.31601385081272321</v>
      </c>
      <c r="G16" s="2">
        <v>8.4347499027718542E-2</v>
      </c>
      <c r="H16" s="2">
        <v>2.6852093457732609E-2</v>
      </c>
      <c r="I16" s="2">
        <v>0.15810077722907559</v>
      </c>
      <c r="J16" s="2">
        <v>5.4099680206955147</v>
      </c>
      <c r="K16" s="2">
        <v>0.45610098804114602</v>
      </c>
      <c r="L16" s="7">
        <v>9.4852138451375897E-2</v>
      </c>
      <c r="M16" s="2">
        <v>9.7660385099115329E-2</v>
      </c>
      <c r="N16" s="2">
        <v>1172.996350011555</v>
      </c>
      <c r="O16" s="2">
        <v>15620.85827018304</v>
      </c>
      <c r="P16" s="2">
        <v>0.62402229448972657</v>
      </c>
      <c r="Q16" s="2">
        <v>7.0863855158147221E-2</v>
      </c>
      <c r="R16" s="2">
        <v>4.4220625492174682E-2</v>
      </c>
      <c r="S16" s="7"/>
    </row>
    <row r="17" spans="1:25" ht="32" x14ac:dyDescent="0.2">
      <c r="A17" s="1" t="s">
        <v>75</v>
      </c>
      <c r="B17" s="7">
        <v>9.7315435168005865E-2</v>
      </c>
      <c r="C17" s="2">
        <v>13775.664166666669</v>
      </c>
      <c r="D17" s="2">
        <v>32704.777777777781</v>
      </c>
      <c r="E17" s="2">
        <v>2595.333333333333</v>
      </c>
      <c r="F17" s="2">
        <v>0.30901606921662778</v>
      </c>
      <c r="G17" s="2">
        <v>8.0424944790966138E-2</v>
      </c>
      <c r="H17" s="2">
        <v>2.5070906641993969E-2</v>
      </c>
      <c r="I17" s="2">
        <v>0.17968840939800601</v>
      </c>
      <c r="J17" s="2">
        <v>5.3503204113292533</v>
      </c>
      <c r="K17" s="2">
        <v>0.43369863767605682</v>
      </c>
      <c r="L17" s="7">
        <v>0.1203761413084989</v>
      </c>
      <c r="M17" s="2">
        <v>7.8661009714465727E-2</v>
      </c>
      <c r="N17" s="2">
        <v>1146.107487412977</v>
      </c>
      <c r="O17" s="2">
        <v>16678.42792204197</v>
      </c>
      <c r="P17" s="2">
        <v>0.36310323848853893</v>
      </c>
      <c r="Q17" s="2">
        <v>8.4065534564321379E-2</v>
      </c>
      <c r="R17" s="2">
        <v>3.052446784557529E-2</v>
      </c>
      <c r="S17" s="7"/>
    </row>
    <row r="18" spans="1:25" ht="32" x14ac:dyDescent="0.2">
      <c r="A18" s="1" t="s">
        <v>76</v>
      </c>
      <c r="B18" s="7">
        <v>0.16810842490072259</v>
      </c>
      <c r="C18" s="2">
        <v>19575.939055555551</v>
      </c>
      <c r="D18" s="2">
        <v>64340.111111111109</v>
      </c>
      <c r="E18" s="2">
        <v>4028.666666666667</v>
      </c>
      <c r="F18" s="2">
        <v>0.32451452036265521</v>
      </c>
      <c r="G18" s="2">
        <v>6.122396980223594E-2</v>
      </c>
      <c r="H18" s="2">
        <v>1.976874127964548E-2</v>
      </c>
      <c r="I18" s="2">
        <v>0.13759420836902031</v>
      </c>
      <c r="J18" s="2">
        <v>4.9858108633927909</v>
      </c>
      <c r="K18" s="2">
        <v>0.30315125186198122</v>
      </c>
      <c r="L18" s="7"/>
      <c r="S18" s="7">
        <v>0.13414872513844989</v>
      </c>
      <c r="T18" s="2">
        <v>2.9774436049290922</v>
      </c>
      <c r="U18" s="2">
        <v>6842.1130094118389</v>
      </c>
      <c r="V18" s="2">
        <v>24751.463179441431</v>
      </c>
      <c r="W18" s="2">
        <v>0.31723218517635271</v>
      </c>
      <c r="X18" s="2">
        <v>7.1296848251969469E-2</v>
      </c>
      <c r="Y18" s="2">
        <v>2.261765496715909E-2</v>
      </c>
    </row>
    <row r="19" spans="1:25" ht="32" x14ac:dyDescent="0.2">
      <c r="A19" s="1" t="s">
        <v>77</v>
      </c>
      <c r="B19" s="7">
        <v>0.14174944284019311</v>
      </c>
      <c r="C19" s="2">
        <v>13826.653666666671</v>
      </c>
      <c r="D19" s="2">
        <v>28772</v>
      </c>
      <c r="E19" s="2">
        <v>2517</v>
      </c>
      <c r="F19" s="2">
        <v>0.31785968624595079</v>
      </c>
      <c r="G19" s="2">
        <v>8.8509923545880151E-2</v>
      </c>
      <c r="H19" s="2">
        <v>2.8526930216328711E-2</v>
      </c>
      <c r="I19" s="2">
        <v>0.16992583892445279</v>
      </c>
      <c r="J19" s="2">
        <v>5.4583408010610146</v>
      </c>
      <c r="K19" s="2">
        <v>0.4877204695875606</v>
      </c>
      <c r="L19" s="7">
        <v>0.21316429632830591</v>
      </c>
      <c r="M19" s="2">
        <v>4.334723053370636E-16</v>
      </c>
      <c r="N19" s="2">
        <v>7.425993143694778E-12</v>
      </c>
      <c r="O19" s="2">
        <v>21520.921197943</v>
      </c>
      <c r="P19" s="2">
        <v>0.40870941543570888</v>
      </c>
      <c r="Q19" s="2">
        <v>0.12287022519533761</v>
      </c>
      <c r="R19" s="2">
        <v>5.0218217914040367E-2</v>
      </c>
      <c r="S19" s="7"/>
    </row>
    <row r="20" spans="1:25" ht="32" x14ac:dyDescent="0.2">
      <c r="A20" s="1" t="s">
        <v>78</v>
      </c>
      <c r="B20" s="7">
        <v>0.14576402645968761</v>
      </c>
      <c r="C20" s="2">
        <v>5674.4224000000004</v>
      </c>
      <c r="D20" s="2">
        <v>15016.2</v>
      </c>
      <c r="E20" s="2">
        <v>966.8</v>
      </c>
      <c r="F20" s="2">
        <v>0.35040088712972067</v>
      </c>
      <c r="G20" s="2">
        <v>6.7290089793659538E-2</v>
      </c>
      <c r="H20" s="2">
        <v>2.391855386169349E-2</v>
      </c>
      <c r="I20" s="2">
        <v>0.14639943905323491</v>
      </c>
      <c r="J20" s="2">
        <v>5.9035999442519103</v>
      </c>
      <c r="K20" s="2">
        <v>0.40299520214314999</v>
      </c>
      <c r="L20" s="7"/>
      <c r="S20" s="7">
        <v>0.1138160567172478</v>
      </c>
      <c r="T20" s="2">
        <v>7.9346559577366499E-2</v>
      </c>
      <c r="U20" s="2">
        <v>529.66566321846926</v>
      </c>
      <c r="V20" s="2">
        <v>5909.4413982809974</v>
      </c>
      <c r="W20" s="2">
        <v>0.33129202021488519</v>
      </c>
      <c r="X20" s="2">
        <v>7.0436358876838037E-2</v>
      </c>
      <c r="Y20" s="2">
        <v>2.3335003628888341E-2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workbookViewId="0">
      <selection activeCell="D12" sqref="D12"/>
    </sheetView>
  </sheetViews>
  <sheetFormatPr baseColWidth="10" defaultColWidth="19" defaultRowHeight="15" x14ac:dyDescent="0.2"/>
  <cols>
    <col min="1" max="1" width="20.33203125" style="2" customWidth="1"/>
    <col min="2" max="16384" width="19" style="2"/>
  </cols>
  <sheetData>
    <row r="1" spans="1:18" ht="32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</row>
    <row r="2" spans="1:18" ht="32" x14ac:dyDescent="0.2">
      <c r="A2" s="1" t="s">
        <v>60</v>
      </c>
      <c r="B2" s="4">
        <v>0.13615825193234479</v>
      </c>
      <c r="C2" s="2">
        <v>10380.833857142859</v>
      </c>
      <c r="D2" s="2">
        <v>21019.142857142859</v>
      </c>
      <c r="E2" s="2">
        <v>1616.285714285714</v>
      </c>
      <c r="F2" s="2">
        <v>0.35072020893246442</v>
      </c>
      <c r="G2" s="2">
        <v>7.7313693815823314E-2</v>
      </c>
      <c r="H2" s="2">
        <v>2.682151637582008E-2</v>
      </c>
      <c r="I2" s="2">
        <v>0.17131348481183431</v>
      </c>
      <c r="J2" s="2">
        <v>6.5703553716442817</v>
      </c>
      <c r="K2" s="2">
        <v>0.50260591164067836</v>
      </c>
      <c r="L2" s="2">
        <v>0.1403709647248744</v>
      </c>
      <c r="M2" s="2">
        <v>0.1455824757713321</v>
      </c>
      <c r="N2" s="2">
        <v>1652.4869180417279</v>
      </c>
      <c r="O2" s="2">
        <v>11693.66443560667</v>
      </c>
      <c r="P2" s="2">
        <v>0.41806926064589428</v>
      </c>
      <c r="Q2" s="2">
        <v>7.6360666121166307E-2</v>
      </c>
      <c r="R2" s="2">
        <v>2.9341354161338519E-2</v>
      </c>
    </row>
    <row r="3" spans="1:18" ht="32" x14ac:dyDescent="0.2">
      <c r="A3" s="1" t="s">
        <v>61</v>
      </c>
      <c r="B3" s="4">
        <v>7.56243985707475E-2</v>
      </c>
      <c r="C3" s="2">
        <v>59316.431199999992</v>
      </c>
      <c r="D3" s="2">
        <v>76843.600000000006</v>
      </c>
      <c r="E3" s="2">
        <v>10950</v>
      </c>
      <c r="F3" s="2">
        <v>0.2104868547730788</v>
      </c>
      <c r="G3" s="2">
        <v>0.13842502822135519</v>
      </c>
      <c r="H3" s="2">
        <v>2.910061389991065E-2</v>
      </c>
      <c r="I3" s="2">
        <v>0.20398755126869519</v>
      </c>
      <c r="J3" s="2">
        <v>5.4466908425990281</v>
      </c>
      <c r="K3" s="2">
        <v>0.75284870845750196</v>
      </c>
      <c r="L3" s="2">
        <v>0.10109234085161541</v>
      </c>
      <c r="M3" s="2">
        <v>0.32677167024825032</v>
      </c>
      <c r="N3" s="2">
        <v>20725.242219882679</v>
      </c>
      <c r="O3" s="2">
        <v>63655.849170309513</v>
      </c>
      <c r="P3" s="2">
        <v>0.22933994109621511</v>
      </c>
      <c r="Q3" s="2">
        <v>0.1434951252645793</v>
      </c>
      <c r="R3" s="2">
        <v>3.2887919153469627E-2</v>
      </c>
    </row>
    <row r="4" spans="1:18" ht="32" x14ac:dyDescent="0.2">
      <c r="A4" s="1" t="s">
        <v>62</v>
      </c>
      <c r="B4" s="4">
        <v>0.16902207085602011</v>
      </c>
      <c r="C4" s="2">
        <v>28050.866111111111</v>
      </c>
      <c r="D4" s="2">
        <v>56788.888888888891</v>
      </c>
      <c r="E4" s="2">
        <v>5848</v>
      </c>
      <c r="F4" s="2">
        <v>0.29231349928531231</v>
      </c>
      <c r="G4" s="2">
        <v>0.1017844954415119</v>
      </c>
      <c r="H4" s="2">
        <v>2.9651427146341221E-2</v>
      </c>
      <c r="I4" s="2">
        <v>0.25963672791398368</v>
      </c>
      <c r="J4" s="2">
        <v>5.1665392499838667</v>
      </c>
      <c r="K4" s="2">
        <v>0.53023810543887295</v>
      </c>
      <c r="L4" s="2">
        <v>0.23783470598493531</v>
      </c>
      <c r="M4" s="2">
        <v>0.51071378908238962</v>
      </c>
      <c r="N4" s="2">
        <v>14036.92795945985</v>
      </c>
      <c r="O4" s="2">
        <v>37518.171155303673</v>
      </c>
      <c r="P4" s="2">
        <v>0.5872205141294301</v>
      </c>
      <c r="Q4" s="2">
        <v>9.2647929534935697E-2</v>
      </c>
      <c r="R4" s="2">
        <v>4.0476279065181482E-2</v>
      </c>
    </row>
    <row r="5" spans="1:18" ht="32" x14ac:dyDescent="0.2">
      <c r="A5" s="1" t="s">
        <v>63</v>
      </c>
      <c r="B5" s="4">
        <v>0.14385917602979451</v>
      </c>
      <c r="C5" s="2">
        <v>6774.8926999999994</v>
      </c>
      <c r="D5" s="2">
        <v>11663.2</v>
      </c>
      <c r="E5" s="2">
        <v>1548</v>
      </c>
      <c r="F5" s="2">
        <v>0.33010003732131038</v>
      </c>
      <c r="G5" s="2">
        <v>0.13303769121345799</v>
      </c>
      <c r="H5" s="2">
        <v>4.38015103302659E-2</v>
      </c>
      <c r="I5" s="2">
        <v>0.20606636976751619</v>
      </c>
      <c r="J5" s="2">
        <v>4.4296652695189236</v>
      </c>
      <c r="K5" s="2">
        <v>0.58409222167013863</v>
      </c>
      <c r="L5" s="2">
        <v>8.974352144005103E-2</v>
      </c>
      <c r="M5" s="2">
        <v>6.417612325562938E-2</v>
      </c>
      <c r="N5" s="2">
        <v>531.46001256316754</v>
      </c>
      <c r="O5" s="2">
        <v>7504.5412790994296</v>
      </c>
      <c r="P5" s="2">
        <v>0.40681878036832758</v>
      </c>
      <c r="Q5" s="2">
        <v>0.1198182782412838</v>
      </c>
      <c r="R5" s="2">
        <v>4.6048641824223892E-2</v>
      </c>
    </row>
    <row r="6" spans="1:18" ht="32" x14ac:dyDescent="0.2">
      <c r="A6" s="1" t="s">
        <v>64</v>
      </c>
      <c r="B6" s="4">
        <v>8.571564136080094E-2</v>
      </c>
      <c r="C6" s="2">
        <v>216962.44085714291</v>
      </c>
      <c r="D6" s="2">
        <v>206411.8571428571</v>
      </c>
      <c r="E6" s="2">
        <v>17732.28571428571</v>
      </c>
      <c r="F6" s="2">
        <v>0.36625757261048442</v>
      </c>
      <c r="G6" s="2">
        <v>8.7014974588608671E-2</v>
      </c>
      <c r="H6" s="2">
        <v>3.1940695714153831E-2</v>
      </c>
      <c r="I6" s="2">
        <v>0.1763913940005829</v>
      </c>
      <c r="J6" s="2">
        <v>12.240885852441419</v>
      </c>
      <c r="K6" s="2">
        <v>1.067205612929921</v>
      </c>
      <c r="L6" s="2">
        <v>6.194530819828107E-2</v>
      </c>
      <c r="M6" s="2">
        <v>9.2336163104766805E-2</v>
      </c>
      <c r="N6" s="2">
        <v>24423.429583155172</v>
      </c>
      <c r="O6" s="2">
        <v>253291.54578703549</v>
      </c>
      <c r="P6" s="2">
        <v>0.40904837586402037</v>
      </c>
      <c r="Q6" s="2">
        <v>8.7785934824929621E-2</v>
      </c>
      <c r="R6" s="2">
        <v>3.5897280042045183E-2</v>
      </c>
    </row>
    <row r="7" spans="1:18" ht="32" x14ac:dyDescent="0.2">
      <c r="A7" s="1" t="s">
        <v>65</v>
      </c>
      <c r="B7" s="4">
        <v>0.1736981448609389</v>
      </c>
      <c r="C7" s="2">
        <v>18372.083666666669</v>
      </c>
      <c r="D7" s="2">
        <v>22313.066666666669</v>
      </c>
      <c r="E7" s="2">
        <v>2631.2</v>
      </c>
      <c r="F7" s="2">
        <v>0.31146270715655672</v>
      </c>
      <c r="G7" s="2">
        <v>0.1200798408400629</v>
      </c>
      <c r="H7" s="2">
        <v>3.8681261560718973E-2</v>
      </c>
      <c r="I7" s="2">
        <v>0.26483526320296619</v>
      </c>
      <c r="J7" s="2">
        <v>6.9116061177237453</v>
      </c>
      <c r="K7" s="2">
        <v>0.84545322140653334</v>
      </c>
      <c r="L7" s="2">
        <v>0.16713463300215589</v>
      </c>
      <c r="M7" s="2">
        <v>0.2373495523506027</v>
      </c>
      <c r="N7" s="2">
        <v>4581.1206834163513</v>
      </c>
      <c r="O7" s="2">
        <v>22563.26565960269</v>
      </c>
      <c r="P7" s="2">
        <v>0.35178735378163217</v>
      </c>
      <c r="Q7" s="2">
        <v>0.13027992077221279</v>
      </c>
      <c r="R7" s="2">
        <v>4.5695721884875473E-2</v>
      </c>
    </row>
    <row r="8" spans="1:18" ht="32" x14ac:dyDescent="0.2">
      <c r="A8" s="1" t="s">
        <v>66</v>
      </c>
      <c r="B8" s="4">
        <v>5.8151131309084128E-2</v>
      </c>
      <c r="C8" s="2">
        <v>24372.599312499999</v>
      </c>
      <c r="D8" s="2">
        <v>27907.625</v>
      </c>
      <c r="E8" s="2">
        <v>3136.125</v>
      </c>
      <c r="F8" s="2">
        <v>0.40383957037039497</v>
      </c>
      <c r="G8" s="2">
        <v>0.12256485289441719</v>
      </c>
      <c r="H8" s="2">
        <v>4.9154416322435127E-2</v>
      </c>
      <c r="I8" s="2">
        <v>0.23272072741220209</v>
      </c>
      <c r="J8" s="2">
        <v>9.0779943232806257</v>
      </c>
      <c r="K8" s="2">
        <v>1.10473191389917</v>
      </c>
      <c r="L8" s="2">
        <v>5.7407086994544707E-2</v>
      </c>
      <c r="M8" s="2">
        <v>0.34793168652007872</v>
      </c>
      <c r="N8" s="2">
        <v>8413.9219799314687</v>
      </c>
      <c r="O8" s="2">
        <v>34965.429188309878</v>
      </c>
      <c r="P8" s="2">
        <v>0.42924149498536679</v>
      </c>
      <c r="Q8" s="2">
        <v>0.1485807613024859</v>
      </c>
      <c r="R8" s="2">
        <v>5.3388944785305592E-2</v>
      </c>
    </row>
    <row r="9" spans="1:18" ht="32" x14ac:dyDescent="0.2">
      <c r="A9" s="1" t="s">
        <v>67</v>
      </c>
      <c r="B9" s="4">
        <v>0.1125757425009252</v>
      </c>
      <c r="C9" s="2">
        <v>6802.1706666666678</v>
      </c>
      <c r="D9" s="2">
        <v>19509.5</v>
      </c>
      <c r="E9" s="2">
        <v>1676.833333333333</v>
      </c>
      <c r="F9" s="2">
        <v>0.26786294184629811</v>
      </c>
      <c r="G9" s="2">
        <v>8.5191846446489625E-2</v>
      </c>
      <c r="H9" s="2">
        <v>2.3136360260451069E-2</v>
      </c>
      <c r="I9" s="2">
        <v>0.20795091315790609</v>
      </c>
      <c r="J9" s="2">
        <v>4.0878220754934933</v>
      </c>
      <c r="K9" s="2">
        <v>0.3481692221052915</v>
      </c>
      <c r="L9" s="2">
        <v>0.13836593228267971</v>
      </c>
      <c r="M9" s="2">
        <v>0.13636097461221541</v>
      </c>
      <c r="N9" s="2">
        <v>984.91990257562986</v>
      </c>
      <c r="O9" s="2">
        <v>8369.4748497443816</v>
      </c>
      <c r="P9" s="2">
        <v>0.38698709289705407</v>
      </c>
      <c r="Q9" s="2">
        <v>9.4610233135669436E-2</v>
      </c>
      <c r="R9" s="2">
        <v>3.0558359098072811E-2</v>
      </c>
    </row>
    <row r="10" spans="1:18" ht="32" x14ac:dyDescent="0.2">
      <c r="A10" s="1" t="s">
        <v>68</v>
      </c>
      <c r="B10" s="4">
        <v>0.20346730379533409</v>
      </c>
      <c r="C10" s="2">
        <v>12753.052</v>
      </c>
      <c r="D10" s="2">
        <v>14343.4</v>
      </c>
      <c r="E10" s="2">
        <v>1508</v>
      </c>
      <c r="F10" s="2">
        <v>0.49851840861980778</v>
      </c>
      <c r="G10" s="2">
        <v>0.1069073338172107</v>
      </c>
      <c r="H10" s="2">
        <v>5.3591274065667348E-2</v>
      </c>
      <c r="I10" s="2">
        <v>0.19951422758964649</v>
      </c>
      <c r="J10" s="2">
        <v>8.4143470757267416</v>
      </c>
      <c r="K10" s="2">
        <v>0.89882573952560796</v>
      </c>
      <c r="L10" s="2">
        <v>0.12954644039320021</v>
      </c>
      <c r="M10" s="2">
        <v>0.15524264603034321</v>
      </c>
      <c r="N10" s="2">
        <v>2102.208898726079</v>
      </c>
      <c r="O10" s="2">
        <v>15311.11054297876</v>
      </c>
      <c r="P10" s="2">
        <v>0.46651848373286681</v>
      </c>
      <c r="Q10" s="2">
        <v>0.11509679253427289</v>
      </c>
      <c r="R10" s="2">
        <v>5.3430546768239662E-2</v>
      </c>
    </row>
    <row r="11" spans="1:18" ht="32" x14ac:dyDescent="0.2">
      <c r="A11" s="1" t="s">
        <v>69</v>
      </c>
      <c r="B11" s="4">
        <v>0.18284115984176691</v>
      </c>
      <c r="C11" s="2">
        <v>15550.179937499999</v>
      </c>
      <c r="D11" s="2">
        <v>22303.125</v>
      </c>
      <c r="E11" s="2">
        <v>2753.125</v>
      </c>
      <c r="F11" s="2">
        <v>0.32750983659015331</v>
      </c>
      <c r="G11" s="2">
        <v>0.1205724481462596</v>
      </c>
      <c r="H11" s="2">
        <v>3.9795318080491603E-2</v>
      </c>
      <c r="I11" s="2">
        <v>0.25598781838516338</v>
      </c>
      <c r="J11" s="2">
        <v>5.8066805349099226</v>
      </c>
      <c r="K11" s="2">
        <v>0.68560916628595459</v>
      </c>
      <c r="L11" s="2">
        <v>0.21680505870858269</v>
      </c>
      <c r="M11" s="2">
        <v>0.29105416495319092</v>
      </c>
      <c r="N11" s="2">
        <v>3948.6705802358069</v>
      </c>
      <c r="O11" s="2">
        <v>18393.4610899156</v>
      </c>
      <c r="P11" s="2">
        <v>0.36258759922859762</v>
      </c>
      <c r="Q11" s="2">
        <v>0.13996307624639731</v>
      </c>
      <c r="R11" s="2">
        <v>5.0032003876547902E-2</v>
      </c>
    </row>
    <row r="12" spans="1:18" ht="32" x14ac:dyDescent="0.2">
      <c r="A12" s="1" t="s">
        <v>70</v>
      </c>
      <c r="B12" s="4">
        <v>0.18744826330919989</v>
      </c>
      <c r="C12" s="2">
        <v>8906.3014999999996</v>
      </c>
      <c r="D12" s="2">
        <v>27466.5</v>
      </c>
      <c r="E12" s="2">
        <v>2186.833333333333</v>
      </c>
      <c r="F12" s="2">
        <v>0.3132746711244157</v>
      </c>
      <c r="G12" s="2">
        <v>8.0433700431638569E-2</v>
      </c>
      <c r="H12" s="2">
        <v>2.5692379137955041E-2</v>
      </c>
      <c r="I12" s="2">
        <v>0.20292970796065529</v>
      </c>
      <c r="J12" s="2">
        <v>4.1707844400185126</v>
      </c>
      <c r="K12" s="2">
        <v>0.32976152867971392</v>
      </c>
      <c r="L12" s="2">
        <v>0.22785483166237119</v>
      </c>
      <c r="M12" s="2">
        <v>7.5847267870791588E-2</v>
      </c>
      <c r="N12" s="2">
        <v>912.30032940252363</v>
      </c>
      <c r="O12" s="2">
        <v>10363.602320436879</v>
      </c>
      <c r="P12" s="2">
        <v>0.38219314498180729</v>
      </c>
      <c r="Q12" s="2">
        <v>8.3719560833296555E-2</v>
      </c>
      <c r="R12" s="2">
        <v>3.1859865530390927E-2</v>
      </c>
    </row>
    <row r="13" spans="1:18" ht="32" x14ac:dyDescent="0.2">
      <c r="A13" s="1" t="s">
        <v>71</v>
      </c>
      <c r="B13" s="4">
        <v>0.20402743380812111</v>
      </c>
      <c r="C13" s="2">
        <v>9891.285045454546</v>
      </c>
      <c r="D13" s="2">
        <v>23522</v>
      </c>
      <c r="E13" s="2">
        <v>1565.272727272727</v>
      </c>
      <c r="F13" s="2">
        <v>0.34223700026193787</v>
      </c>
      <c r="G13" s="2">
        <v>7.1115535483176756E-2</v>
      </c>
      <c r="H13" s="2">
        <v>2.4853789949987552E-2</v>
      </c>
      <c r="I13" s="2">
        <v>0.17151440597900619</v>
      </c>
      <c r="J13" s="2">
        <v>6.3534618107072109</v>
      </c>
      <c r="K13" s="2">
        <v>0.4607015516600716</v>
      </c>
      <c r="L13" s="2">
        <v>0.1810744166562343</v>
      </c>
      <c r="M13" s="2">
        <v>0.1302670703358805</v>
      </c>
      <c r="N13" s="2">
        <v>1424.893533653114</v>
      </c>
      <c r="O13" s="2">
        <v>11443.29777051063</v>
      </c>
      <c r="P13" s="2">
        <v>0.36284661470699359</v>
      </c>
      <c r="Q13" s="2">
        <v>7.1731334748429992E-2</v>
      </c>
      <c r="R13" s="2">
        <v>2.5950257975915471E-2</v>
      </c>
    </row>
    <row r="14" spans="1:18" ht="32" x14ac:dyDescent="0.2">
      <c r="A14" s="1" t="s">
        <v>72</v>
      </c>
      <c r="B14" s="4">
        <v>0.12440166068432371</v>
      </c>
      <c r="C14" s="2">
        <v>29797.584944444439</v>
      </c>
      <c r="D14" s="2">
        <v>36960.666666666657</v>
      </c>
      <c r="E14" s="2">
        <v>4504.4444444444443</v>
      </c>
      <c r="F14" s="2">
        <v>0.30493617235968717</v>
      </c>
      <c r="G14" s="2">
        <v>0.1233304316923495</v>
      </c>
      <c r="H14" s="2">
        <v>3.7354012884823928E-2</v>
      </c>
      <c r="I14" s="2">
        <v>0.20435417369397671</v>
      </c>
      <c r="J14" s="2">
        <v>6.6168133154543689</v>
      </c>
      <c r="K14" s="2">
        <v>0.81419062916549834</v>
      </c>
      <c r="L14" s="2">
        <v>0.15021117061042591</v>
      </c>
      <c r="M14" s="2">
        <v>8.5411174840570744E-2</v>
      </c>
      <c r="N14" s="2">
        <v>2843.8641261304169</v>
      </c>
      <c r="O14" s="2">
        <v>33951.973611451896</v>
      </c>
      <c r="P14" s="2">
        <v>0.32485664058138408</v>
      </c>
      <c r="Q14" s="2">
        <v>0.12653343874322731</v>
      </c>
      <c r="R14" s="2">
        <v>4.1097244772519997E-2</v>
      </c>
    </row>
    <row r="15" spans="1:18" ht="32" x14ac:dyDescent="0.2">
      <c r="A15" s="1" t="s">
        <v>73</v>
      </c>
      <c r="B15" s="4">
        <v>0.1023919166332667</v>
      </c>
      <c r="C15" s="2">
        <v>8186.9226666666682</v>
      </c>
      <c r="D15" s="2">
        <v>15604.33333333333</v>
      </c>
      <c r="E15" s="2">
        <v>1336.666666666667</v>
      </c>
      <c r="F15" s="2">
        <v>0.39011476466795608</v>
      </c>
      <c r="G15" s="2">
        <v>8.5662612632745661E-2</v>
      </c>
      <c r="H15" s="2">
        <v>3.316953381561373E-2</v>
      </c>
      <c r="I15" s="2">
        <v>0.1789069993858434</v>
      </c>
      <c r="J15" s="2">
        <v>6.1776185248226936</v>
      </c>
      <c r="K15" s="2">
        <v>0.52525285799602539</v>
      </c>
      <c r="L15" s="2">
        <v>0.13707640519267711</v>
      </c>
      <c r="M15" s="2">
        <v>5.7337202214333902E-2</v>
      </c>
      <c r="N15" s="2">
        <v>509.82484727850061</v>
      </c>
      <c r="O15" s="2">
        <v>9284.831511635517</v>
      </c>
      <c r="P15" s="2">
        <v>0.43145119372232599</v>
      </c>
      <c r="Q15" s="2">
        <v>9.1966171350282511E-2</v>
      </c>
      <c r="R15" s="2">
        <v>3.7487986892810188E-2</v>
      </c>
    </row>
    <row r="16" spans="1:18" ht="32" x14ac:dyDescent="0.2">
      <c r="A16" s="1" t="s">
        <v>74</v>
      </c>
      <c r="B16" s="4">
        <v>0.14521301364970221</v>
      </c>
      <c r="C16" s="2">
        <v>10118.105</v>
      </c>
      <c r="D16" s="2">
        <v>23040.666666666672</v>
      </c>
      <c r="E16" s="2">
        <v>1926</v>
      </c>
      <c r="F16" s="2">
        <v>0.31601385081272321</v>
      </c>
      <c r="G16" s="2">
        <v>8.4347499027718542E-2</v>
      </c>
      <c r="H16" s="2">
        <v>2.6852093457732609E-2</v>
      </c>
      <c r="I16" s="2">
        <v>0.15810077722907559</v>
      </c>
      <c r="J16" s="2">
        <v>5.4099680206955147</v>
      </c>
      <c r="K16" s="2">
        <v>0.45610098804114602</v>
      </c>
      <c r="L16" s="2">
        <v>0.14848694017187181</v>
      </c>
      <c r="M16" s="2">
        <v>0.22181864432996179</v>
      </c>
      <c r="N16" s="2">
        <v>2369.2940833962539</v>
      </c>
      <c r="O16" s="2">
        <v>12647.777805315751</v>
      </c>
      <c r="P16" s="2">
        <v>0.41213182920614949</v>
      </c>
      <c r="Q16" s="2">
        <v>8.3503261687368033E-2</v>
      </c>
      <c r="R16" s="2">
        <v>3.3433486132081573E-2</v>
      </c>
    </row>
    <row r="17" spans="1:18" ht="32" x14ac:dyDescent="0.2">
      <c r="A17" s="1" t="s">
        <v>75</v>
      </c>
      <c r="B17" s="4">
        <v>9.7315435168005865E-2</v>
      </c>
      <c r="C17" s="2">
        <v>13775.664166666669</v>
      </c>
      <c r="D17" s="2">
        <v>32704.777777777781</v>
      </c>
      <c r="E17" s="2">
        <v>2595.333333333333</v>
      </c>
      <c r="F17" s="2">
        <v>0.30901606921662778</v>
      </c>
      <c r="G17" s="2">
        <v>8.0424944790966138E-2</v>
      </c>
      <c r="H17" s="2">
        <v>2.5070906641993969E-2</v>
      </c>
      <c r="I17" s="2">
        <v>0.17968840939800601</v>
      </c>
      <c r="J17" s="2">
        <v>5.3503204113292533</v>
      </c>
      <c r="K17" s="2">
        <v>0.43369863767605682</v>
      </c>
      <c r="L17" s="2">
        <v>0.13184951769045461</v>
      </c>
      <c r="M17" s="2">
        <v>0.1229236709562536</v>
      </c>
      <c r="N17" s="2">
        <v>2260.9246123540838</v>
      </c>
      <c r="O17" s="2">
        <v>20112.379116165808</v>
      </c>
      <c r="P17" s="2">
        <v>-0.73079884641296655</v>
      </c>
      <c r="Q17" s="2">
        <v>7.6409211412113501E-2</v>
      </c>
      <c r="R17" s="2">
        <v>3.4139161533890947E-2</v>
      </c>
    </row>
    <row r="18" spans="1:18" ht="32" x14ac:dyDescent="0.2">
      <c r="A18" s="1" t="s">
        <v>76</v>
      </c>
      <c r="B18" s="4">
        <v>0.16810842490072259</v>
      </c>
      <c r="C18" s="2">
        <v>19575.939055555551</v>
      </c>
      <c r="D18" s="2">
        <v>64340.111111111109</v>
      </c>
      <c r="E18" s="2">
        <v>4028.666666666667</v>
      </c>
      <c r="F18" s="2">
        <v>0.32451452036265521</v>
      </c>
      <c r="G18" s="2">
        <v>6.122396980223594E-2</v>
      </c>
      <c r="H18" s="2">
        <v>1.976874127964548E-2</v>
      </c>
      <c r="I18" s="2">
        <v>0.13759420836902031</v>
      </c>
      <c r="J18" s="2">
        <v>4.9858108633927909</v>
      </c>
      <c r="K18" s="2">
        <v>0.30315125186198122</v>
      </c>
      <c r="L18" s="2">
        <v>0.1222005246781864</v>
      </c>
      <c r="M18" s="2">
        <v>3.3004016134101839</v>
      </c>
      <c r="N18" s="2">
        <v>7691.8124997215864</v>
      </c>
      <c r="O18" s="2">
        <v>23992.51585067057</v>
      </c>
      <c r="P18" s="2">
        <v>0.32379621557071447</v>
      </c>
      <c r="Q18" s="2">
        <v>6.6706581659889005E-2</v>
      </c>
      <c r="R18" s="2">
        <v>2.1441999109345088E-2</v>
      </c>
    </row>
    <row r="19" spans="1:18" ht="32" x14ac:dyDescent="0.2">
      <c r="A19" s="1" t="s">
        <v>77</v>
      </c>
      <c r="B19" s="4">
        <v>0.14174944284019311</v>
      </c>
      <c r="C19" s="2">
        <v>13826.653666666671</v>
      </c>
      <c r="D19" s="2">
        <v>28772</v>
      </c>
      <c r="E19" s="2">
        <v>2517</v>
      </c>
      <c r="F19" s="2">
        <v>0.31785968624595079</v>
      </c>
      <c r="G19" s="2">
        <v>8.8509923545880151E-2</v>
      </c>
      <c r="H19" s="2">
        <v>2.8526930216328711E-2</v>
      </c>
      <c r="I19" s="2">
        <v>0.16992583892445279</v>
      </c>
      <c r="J19" s="2">
        <v>5.4583408010610146</v>
      </c>
      <c r="K19" s="2">
        <v>0.4877204695875606</v>
      </c>
      <c r="L19" s="2">
        <v>0.2131642963283058</v>
      </c>
      <c r="M19" s="2">
        <v>5.1681303344267848E-2</v>
      </c>
      <c r="N19" s="2">
        <v>820.43309194215999</v>
      </c>
      <c r="O19" s="2">
        <v>23412.582009732119</v>
      </c>
      <c r="P19" s="2">
        <v>0.40657559523202841</v>
      </c>
      <c r="Q19" s="2">
        <v>0.1341030331456034</v>
      </c>
      <c r="R19" s="2">
        <v>5.4382143977583293E-2</v>
      </c>
    </row>
    <row r="20" spans="1:18" ht="32" x14ac:dyDescent="0.2">
      <c r="A20" s="1" t="s">
        <v>78</v>
      </c>
      <c r="B20" s="4">
        <v>0.14576402645968761</v>
      </c>
      <c r="C20" s="2">
        <v>5674.4224000000004</v>
      </c>
      <c r="D20" s="2">
        <v>15016.2</v>
      </c>
      <c r="E20" s="2">
        <v>966.8</v>
      </c>
      <c r="F20" s="2">
        <v>0.35040088712972067</v>
      </c>
      <c r="G20" s="2">
        <v>6.7290089793659538E-2</v>
      </c>
      <c r="H20" s="2">
        <v>2.391855386169349E-2</v>
      </c>
      <c r="I20" s="2">
        <v>0.14639943905323491</v>
      </c>
      <c r="J20" s="2">
        <v>5.9035999442519103</v>
      </c>
      <c r="K20" s="2">
        <v>0.40299520214314999</v>
      </c>
      <c r="L20" s="2">
        <v>0.1231529585096108</v>
      </c>
      <c r="M20" s="2">
        <v>0.17072392519158</v>
      </c>
      <c r="N20" s="2">
        <v>1196.310806117388</v>
      </c>
      <c r="O20" s="2">
        <v>6344.5707713189304</v>
      </c>
      <c r="P20" s="2">
        <v>0.39502382816223403</v>
      </c>
      <c r="Q20" s="2">
        <v>6.6026998200860235E-2</v>
      </c>
      <c r="R20" s="2">
        <v>2.5044565120818381E-2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Results</vt:lpstr>
      <vt:lpstr>Min Discount</vt:lpstr>
      <vt:lpstr>Min MAPE</vt:lpstr>
      <vt:lpstr>Min RMSE</vt:lpstr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2025-10-30T08:51:15Z</dcterms:created>
  <dcterms:modified xsi:type="dcterms:W3CDTF">2025-10-31T12:57:17Z</dcterms:modified>
</cp:coreProperties>
</file>